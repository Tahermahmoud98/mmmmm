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اشراف\ڤه‌گوهاستن\2026-2027\"/>
    </mc:Choice>
  </mc:AlternateContent>
  <xr:revisionPtr revIDLastSave="0" documentId="13_ncr:1_{7D16B26A-8428-4BB5-A8E8-BFB48B60CB6F}" xr6:coauthVersionLast="47" xr6:coauthVersionMax="47" xr10:uidLastSave="{00000000-0000-0000-0000-000000000000}"/>
  <bookViews>
    <workbookView xWindow="-120" yWindow="-120" windowWidth="20730" windowHeight="11040" xr2:uid="{287945DE-90D9-429E-AAA7-3A3011C1C478}"/>
  </bookViews>
  <sheets>
    <sheet name="پێزانين" sheetId="4" r:id="rId1"/>
    <sheet name="ميلاك" sheetId="5" r:id="rId2"/>
  </sheets>
  <definedNames>
    <definedName name="_xlnm.Print_Titles" localSheetId="1">ميلاك!$2:$3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2" i="4" l="1"/>
  <c r="G32" i="4"/>
  <c r="I23" i="4"/>
  <c r="I24" i="4"/>
  <c r="I25" i="4"/>
  <c r="I26" i="4"/>
  <c r="I27" i="4"/>
  <c r="I28" i="4"/>
  <c r="I29" i="4"/>
  <c r="I30" i="4"/>
  <c r="I77" i="5"/>
  <c r="J77" i="5"/>
  <c r="K77" i="5"/>
  <c r="L77" i="5"/>
  <c r="M77" i="5"/>
  <c r="N77" i="5"/>
  <c r="O77" i="5"/>
  <c r="P77" i="5"/>
  <c r="Q77" i="5"/>
  <c r="R77" i="5"/>
  <c r="S77" i="5"/>
  <c r="T77" i="5"/>
  <c r="U73" i="5"/>
  <c r="U76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4" i="5"/>
  <c r="U75" i="5"/>
  <c r="A71" i="5"/>
  <c r="A72" i="5"/>
  <c r="A73" i="5"/>
  <c r="A74" i="5"/>
  <c r="A75" i="5"/>
  <c r="A76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U77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I22" i="4"/>
  <c r="G35" i="4"/>
  <c r="E31" i="4"/>
  <c r="G31" i="4"/>
  <c r="C31" i="4"/>
  <c r="I31" i="4" l="1"/>
</calcChain>
</file>

<file path=xl/sharedStrings.xml><?xml version="1.0" encoding="utf-8"?>
<sst xmlns="http://schemas.openxmlformats.org/spreadsheetml/2006/main" count="333" uniqueCount="298">
  <si>
    <t>يه‌كا دلنيايى جورى و سه‌رپه‌رشتيكرنا په‌روه‌رده‌يى / زاخۆ</t>
  </si>
  <si>
    <t>ناڤ</t>
  </si>
  <si>
    <t>ره‌گه‌ز</t>
  </si>
  <si>
    <t>جور</t>
  </si>
  <si>
    <t>جهـ</t>
  </si>
  <si>
    <t>زمان</t>
  </si>
  <si>
    <t>كوران</t>
  </si>
  <si>
    <t>كچان</t>
  </si>
  <si>
    <t>كوردى</t>
  </si>
  <si>
    <t>عه‌ره‌بى</t>
  </si>
  <si>
    <t>سريانى</t>
  </si>
  <si>
    <t>سه‌نته‌ر</t>
  </si>
  <si>
    <t>نافچه‌</t>
  </si>
  <si>
    <t>گوند</t>
  </si>
  <si>
    <t>نێر</t>
  </si>
  <si>
    <t>مێ</t>
  </si>
  <si>
    <t>بروانامه‌</t>
  </si>
  <si>
    <t>ناڤێ قوتابخانێ</t>
  </si>
  <si>
    <t>ره‌گه‌زێ قوتابخانێ</t>
  </si>
  <si>
    <t>جورێ قوتابخانێ</t>
  </si>
  <si>
    <t>جهێ قوتابخانێ</t>
  </si>
  <si>
    <t>زمانێ قوتابخانێ</t>
  </si>
  <si>
    <t>ناڤ و نيشانێن</t>
  </si>
  <si>
    <t>نيشانا كارى</t>
  </si>
  <si>
    <t>ڕێڤه‌به‌ر</t>
  </si>
  <si>
    <t>هاريكار</t>
  </si>
  <si>
    <t>ناڤێ سێ قولى</t>
  </si>
  <si>
    <t>بسپورى</t>
  </si>
  <si>
    <t>ژدايك بوون</t>
  </si>
  <si>
    <t>موبايل</t>
  </si>
  <si>
    <t>تێبينى</t>
  </si>
  <si>
    <t>ژ,وانا</t>
  </si>
  <si>
    <t>ئنگليزى</t>
  </si>
  <si>
    <t>كومه‌لگه‌هـ</t>
  </si>
  <si>
    <t>ژمارا قوتابيان و هوبێن خواندنێ ل قوتابخانێ</t>
  </si>
  <si>
    <t>پول</t>
  </si>
  <si>
    <t>ژ.هوبا</t>
  </si>
  <si>
    <t>كور</t>
  </si>
  <si>
    <t>كچ</t>
  </si>
  <si>
    <t>سه‌رجه‌مێ قوتابيان</t>
  </si>
  <si>
    <t>سه‌رجه‌م</t>
  </si>
  <si>
    <t>پێزانين ل سه‌ر قوتابخانێ</t>
  </si>
  <si>
    <t>ناڤه‌روك</t>
  </si>
  <si>
    <t>پێدڤى</t>
  </si>
  <si>
    <t>يێن هه‌ين</t>
  </si>
  <si>
    <t>ژمارا ژوورێن كارگێرى</t>
  </si>
  <si>
    <t>ژمارا ژوورێن خواندنێ</t>
  </si>
  <si>
    <t>ژمارا تاقيگه‌هان</t>
  </si>
  <si>
    <t>هول ل قوتابخانێ هه‌يه‌</t>
  </si>
  <si>
    <t>به‌لێ</t>
  </si>
  <si>
    <t>نه‌خێر</t>
  </si>
  <si>
    <t>پێزانينێن قوتابخانێ</t>
  </si>
  <si>
    <t>ده‌واما قوتابخانێ</t>
  </si>
  <si>
    <t>ئێك شه‌مب سپێدێ</t>
  </si>
  <si>
    <t>ئێك شه‌مب نيڤرو</t>
  </si>
  <si>
    <t>دگه‌ل خۆدايه‌</t>
  </si>
  <si>
    <t>ژمارا قوتابيێن خودان پێدڤيێن تايبه‌ت</t>
  </si>
  <si>
    <t>كۆر</t>
  </si>
  <si>
    <t>ئايا ل قوتابخانێ مامۆستايێ په‌روه‌ردا تايبه‌ت هه‌يه‌؟</t>
  </si>
  <si>
    <t>ژمارا وانا</t>
  </si>
  <si>
    <t>ئايا ل قوتابخانێ ڕێنماكارێ په‌روه‌رده‌يى هه‌يه‌؟</t>
  </si>
  <si>
    <t>ز</t>
  </si>
  <si>
    <t>ژ</t>
  </si>
  <si>
    <t>تا</t>
  </si>
  <si>
    <t>ژمارا فه‌رمانا كارگێرى</t>
  </si>
  <si>
    <t>ژمارا مامۆستايێن</t>
  </si>
  <si>
    <t>بابه‌ت</t>
  </si>
  <si>
    <t>ژ. به‌هرا</t>
  </si>
  <si>
    <t>زێده‌</t>
  </si>
  <si>
    <t>كێم يان پێدڤى</t>
  </si>
  <si>
    <t>تێكه‌ل</t>
  </si>
  <si>
    <t>دبلوم</t>
  </si>
  <si>
    <t>دبلوما گه‌شه‌پێدانێ</t>
  </si>
  <si>
    <t>به‌كالوريوس</t>
  </si>
  <si>
    <t>دبلوما بلند</t>
  </si>
  <si>
    <t>ماسته‌ر</t>
  </si>
  <si>
    <t>دكتورا</t>
  </si>
  <si>
    <t>بۆچوونا سه‌رپه‌رشتيارێ په‌روه‌رده‌يى يێ قوتابخانێ</t>
  </si>
  <si>
    <t>ناڤ و ئيمزا سه‌رپه‌رشتيارێ په‌روه‌رده‌يى/</t>
  </si>
  <si>
    <t>ميلاكێ قوتابخانێ و به‌هره‌يێن وان</t>
  </si>
  <si>
    <t>ئاكنجيبوون</t>
  </si>
  <si>
    <t>ز.كوردى</t>
  </si>
  <si>
    <t>بيركارى</t>
  </si>
  <si>
    <t>مامۆستا</t>
  </si>
  <si>
    <t>ژمارا به‌هرا</t>
  </si>
  <si>
    <t xml:space="preserve">باغجى لاناز یى زاروکا </t>
  </si>
  <si>
    <t>باغچێ باتیفا یێ زاروکا</t>
  </si>
  <si>
    <t>باغچێ پێلين يێ زاروكا</t>
  </si>
  <si>
    <t>باغچێ ده‌ركار يێ زاروكا</t>
  </si>
  <si>
    <t>باغچێ زاخۆ يێ زاروكا</t>
  </si>
  <si>
    <t>باغچێ نێرگز يێ زاروكا</t>
  </si>
  <si>
    <t>16ی تەباخ  يا بنه‌ره‌تى يا تێكه‌ل</t>
  </si>
  <si>
    <t>18شوات يا بنه‌ره‌تى يا تێكه‌ل</t>
  </si>
  <si>
    <t>باتيفا يا بنه‌ره‌تى يا تێكه‌ل</t>
  </si>
  <si>
    <t xml:space="preserve">باتێل یا بنه‌ره‌ت یا کوران </t>
  </si>
  <si>
    <t>باجد بەرئاڤ یا بنەرەت يا تێكه‌ل</t>
  </si>
  <si>
    <t>باجدكه‌ندال یا بنه‌ره‌ت يا تێكه‌ل</t>
  </si>
  <si>
    <t>باچيكا يا بنه‌ره‌تى يا تێكه‌ل</t>
  </si>
  <si>
    <t>باستكێ یا بنه‌ره‌ت يا تێكه‌ل</t>
  </si>
  <si>
    <t>باستكێ یا بنه‌ره‌ت یا كچان</t>
  </si>
  <si>
    <t>باكرما يا بنەرەت يا تيكةل</t>
  </si>
  <si>
    <t>بالقوس ژوورى يا بنه‌رِه‌ت يا تێكه‌ل</t>
  </si>
  <si>
    <t>بالقوس ژێرى یا بنەرەت يا تێكه‌ل</t>
  </si>
  <si>
    <t>بانك یا بنەرەت یا تیکەل</t>
  </si>
  <si>
    <t>باوه‌ردێ یا بنەرەت يا تێكه‌ل</t>
  </si>
  <si>
    <t>بدرخان یا بنەرەت یا کوران</t>
  </si>
  <si>
    <t>بهار يا بنه‌ره‌تى يا كچان</t>
  </si>
  <si>
    <t>به‌راڤ يا بنه‌ره‌تى يا تێكه‌ل</t>
  </si>
  <si>
    <t>به‌رانش یا بنه‌ره‌ت تێکه‌ل</t>
  </si>
  <si>
    <t>به‌رزيرك یا بنەرەت  یا تيَكةل</t>
  </si>
  <si>
    <t>به‌ياڤ يا بنه‌ره‌تى يا كوران</t>
  </si>
  <si>
    <t>بوتان يا بنه‌ره‌تى يا تێكه‌ل</t>
  </si>
  <si>
    <t xml:space="preserve">بێتاس یا بنەرەت یا تیکەل </t>
  </si>
  <si>
    <t>بێدارێ يا بنه‌ره‌تى يا تێكه‌ل</t>
  </si>
  <si>
    <t>بێرسڤێ يا بنه‌ره‌تى يا تێكه‌ل</t>
  </si>
  <si>
    <t>بێگوڤا یابنه‌ره‌ت یا تێکەل</t>
  </si>
  <si>
    <t>بەفرین یابنەرەت کچان</t>
  </si>
  <si>
    <t>په‌رتووێ هه‌كاری یابنه‌ره‌ت یا تێکەل</t>
  </si>
  <si>
    <t>په‌رله‌مان یابنه‌ره‌ت یا تێکەل</t>
  </si>
  <si>
    <t>په‌يام يا بنه‌ره‌ت يا تێكه‌ل</t>
  </si>
  <si>
    <t xml:space="preserve">پێ بزنێ يابنه‌ره‌ت يا تێكه‌ل </t>
  </si>
  <si>
    <t>پێشخابير یا بنه‌ره‌ت یا تیكه‌ل</t>
  </si>
  <si>
    <t>پێشكه‌فتن یا بنه‌ره‌ت یا تیکەل</t>
  </si>
  <si>
    <t>پێشمه‌رگه‌ ئێڤاران یابنه‌ره‌ت یاکوران</t>
  </si>
  <si>
    <t>پەرى یابنەرەت یاکچان</t>
  </si>
  <si>
    <t>تلكه‌به‌ر یابنه‌ره‌ت یا تێکەل</t>
  </si>
  <si>
    <t>تێرك عه‌ره‌ب يا بنه‌ره‌تى يا تێكه‌ل</t>
  </si>
  <si>
    <t>جزیری یابنەڕەتی یاتێکەل</t>
  </si>
  <si>
    <t>جوان يا بنه‌ره‌تى يا تێكه‌ل</t>
  </si>
  <si>
    <t>جودى یابنه‌ره‌ت یا تێکەل</t>
  </si>
  <si>
    <t>چه‌له‌نگ يا بنه‌ره‌ت يا تێكه‌ل</t>
  </si>
  <si>
    <t xml:space="preserve">چه‌م سيرمو يابنه‌ره‌ت یا تێکەل </t>
  </si>
  <si>
    <t>چه‌م كورك يا بنه‌ره‌ت يا تێكه‌ل</t>
  </si>
  <si>
    <t>چیمه‌ن یابنه‌ره‌ت یا کچان</t>
  </si>
  <si>
    <t>حه‌له‌بچه‌ یابنه‌ره‌ت یا تێکەل</t>
  </si>
  <si>
    <t xml:space="preserve">حەسەن ئاڤا یابنەرەت یا تیکەل </t>
  </si>
  <si>
    <t>خابیر یابنه‌ره‌ت یا کوران</t>
  </si>
  <si>
    <t>خامتیر یا بنه‌رت یا تێکەل</t>
  </si>
  <si>
    <t>خراب دێم یا بنەرەت يا تێكه‌ل</t>
  </si>
  <si>
    <t xml:space="preserve">خرابابك یا بنەرەت یا تیکەل </t>
  </si>
  <si>
    <t>خواكورك يا بنه‌ره‌تى يا تێكه‌ل</t>
  </si>
  <si>
    <t>خێله‌خ يا بنه‌ره‌ت يا تێكه‌ل</t>
  </si>
  <si>
    <t>خیزاڤا یا بنەرەت یا تێکەل</t>
  </si>
  <si>
    <t>دارهوزان يا بنه‌ره‌تى يا تێكه‌ل</t>
  </si>
  <si>
    <t>دم دم يا بنه‌ره‌تى يا تێكه‌ل</t>
  </si>
  <si>
    <t>ده‌ركار يا بنه‌ره‌تى يا تێكه‌ل</t>
  </si>
  <si>
    <t>ده‌لال يا بنه‌ره‌تى يا كچان</t>
  </si>
  <si>
    <t>ديارى يا بنه‌ره‌تى يا تێكه‌ل</t>
  </si>
  <si>
    <t>ديلان يا بنه‌ره‌تى يا كچان</t>
  </si>
  <si>
    <t>ديمه‌ن يا بنه‌ره‌تى يا كچان</t>
  </si>
  <si>
    <t>دێره‌بين يا بنه‌ره‌ت يا تێكه‌ل</t>
  </si>
  <si>
    <t>دێمكا يا بنه‌ره‌ت يا تێكه‌ل</t>
  </si>
  <si>
    <t>دەشت یا بنەڕەتى یا تێکەل</t>
  </si>
  <si>
    <t>دەشتمر یا بنەرەت یا تێکەل</t>
  </si>
  <si>
    <t xml:space="preserve">راست یا بنەرەت یا تیکەل </t>
  </si>
  <si>
    <t>راگرین یا بنەرەت یا کچان</t>
  </si>
  <si>
    <t>رامان  یابنه‌ره‌ت یا تێکەل</t>
  </si>
  <si>
    <t>رزگارى یا بنەرەت یا تێکەل</t>
  </si>
  <si>
    <t>ره‌به‌نكا  یابنه‌ره‌ت یا تێکەل</t>
  </si>
  <si>
    <t>ره‌هوان يا بنه‌ره‌تى يا تێكه‌ل</t>
  </si>
  <si>
    <t>روژ يا بنه‌ره‌تى يا تێكه‌ل</t>
  </si>
  <si>
    <t>روژدا یابنه‌ره‌ت یا تێکەل</t>
  </si>
  <si>
    <t xml:space="preserve">روژین یابنه‌ره‌ت یا تێکەل یا ئینگلیزى </t>
  </si>
  <si>
    <t>روناهى یا بنەڕەت یا تێکەل</t>
  </si>
  <si>
    <t>ريفراندوم يا بنه‌ره‌تى يا تێكه‌ل</t>
  </si>
  <si>
    <t>رێوان  یابنه‌ره‌ت یا تێکەل</t>
  </si>
  <si>
    <t>زاخۆ يا بنه‌ره‌تى يا كچان</t>
  </si>
  <si>
    <t>زاگروس یابنه‌ره‌ت یا تیکەل</t>
  </si>
  <si>
    <t>زانست یا بنەڕەتى یاتێکەڵ</t>
  </si>
  <si>
    <t xml:space="preserve">زانین یابنه‌ره‌ت یا تیکەل </t>
  </si>
  <si>
    <t xml:space="preserve">زريزه یا بنەرەت یا تیکەل </t>
  </si>
  <si>
    <t>زه‌عفه‌ران يا بنه‌ره‌تى يا تێكه‌ل</t>
  </si>
  <si>
    <t>زين يا بنه‌ره‌تى يا تێكه‌ل</t>
  </si>
  <si>
    <t>زێبار یا بنەرەت یا تێکەڵ</t>
  </si>
  <si>
    <t xml:space="preserve">زەرى یا بنەرەت یاکچان </t>
  </si>
  <si>
    <t>ژوڤان یا بنەرەت یا کوران</t>
  </si>
  <si>
    <t>ژيار يا بنه‌ره‌تى يا تێكه‌ل</t>
  </si>
  <si>
    <t>ژين يا بنه‌ره‌تى يا كوران</t>
  </si>
  <si>
    <t xml:space="preserve">ستێر یابنه‌ره‌ت یا كچان </t>
  </si>
  <si>
    <t>سمائیل ئاڤا یا بنەرەت یا تێکەل</t>
  </si>
  <si>
    <t>سنور يا بنه‌ره‌تى يا تێكه‌ل</t>
  </si>
  <si>
    <t>سه‌ربه‌خوويى يا بنه‌ره‌تى يا تێكه‌ل</t>
  </si>
  <si>
    <t>سه‌ركه‌فتن  یابنه‌ره‌ت یا تێکەل</t>
  </si>
  <si>
    <t>سه‌روه‌ر یا بنەڕەتى یا کوران</t>
  </si>
  <si>
    <t>سوار یابنەرەت یاکوران</t>
  </si>
  <si>
    <t>سوز يا بنه‌ره‌تى يا عه‌ره‌بى يا تێكه‌ل</t>
  </si>
  <si>
    <t>سولاڤ یا بنه‌ره‌ت یا کچان</t>
  </si>
  <si>
    <t>سیپان یا بنه‌ره‌ت یا تێكه‌ل</t>
  </si>
  <si>
    <t xml:space="preserve">سیرکوتک یابنەرەت یا تیکەل </t>
  </si>
  <si>
    <t>شابانى يا بنه‌ره‌تى يا تێكه‌ل</t>
  </si>
  <si>
    <t>شادى يا بنه‌ره‌تى يا كوران</t>
  </si>
  <si>
    <t>شكاك یابنه‌ره‌ت یا تێكه‌ل</t>
  </si>
  <si>
    <t xml:space="preserve">شلاما یابنه‌ره‌ت یا تیکەل </t>
  </si>
  <si>
    <t>شلێر يا بنه‌ره‌ت يا تێكه‌ل</t>
  </si>
  <si>
    <t>شه‌پال یابنه‌ره‌ت یا تێكه‌ل</t>
  </si>
  <si>
    <t xml:space="preserve">شه‌ڤيار يا بنه‌ره‌ت یا یتکەل </t>
  </si>
  <si>
    <t>شه‌ڤين يا بنه‌ره‌تى يا كچان</t>
  </si>
  <si>
    <t>شه‌مال یا بنەرەت یا کوران</t>
  </si>
  <si>
    <t xml:space="preserve">شه‌نگ یابنه‌ره‌ت یا تیکەل </t>
  </si>
  <si>
    <t>شوحا يا بنه‌ره‌تى يا تێكه‌ل</t>
  </si>
  <si>
    <t>شوخ یابنه‌ره‌ت یا تێكه‌ل</t>
  </si>
  <si>
    <t xml:space="preserve">شينئاڤا یا بنەرەت یا تیکەل </t>
  </si>
  <si>
    <t xml:space="preserve">شێله‌كا یا بنەرەت یا تیکەل </t>
  </si>
  <si>
    <t>طاوكێ يا بنه‌ره‌تى يا تێكه‌ل</t>
  </si>
  <si>
    <t>فه‌ره‌شين يا بنه‌ره‌تى يا تێكه‌ل</t>
  </si>
  <si>
    <t>فه‌نه‌ر  یابنه‌ره‌ت یا کوران</t>
  </si>
  <si>
    <t>فورات یابنه‌ره‌ت یا تێكه‌ل</t>
  </si>
  <si>
    <t xml:space="preserve">قه‌درى جان یابنه‌ره‌ت یا کچان </t>
  </si>
  <si>
    <t>قه‌رقورێ یا بنه‌ره‌ت ياتێكه‌ل</t>
  </si>
  <si>
    <t>قه‌ره‌ولا یابنه‌ره‌ت یا تێكه‌ل</t>
  </si>
  <si>
    <t>كارێز يا بنه‌ره‌تى يا تێكه‌ل</t>
  </si>
  <si>
    <t>كانى عه‌ره‌ب يا بنه‌ره‌ت یا تێكه‌ل</t>
  </si>
  <si>
    <t xml:space="preserve">كه‌رپت تەیمور یا بنەرەت یا تیکەل </t>
  </si>
  <si>
    <t>كه‌ژين يا بنه‌ره‌تى يا تێكه‌ل</t>
  </si>
  <si>
    <t xml:space="preserve">كه‌ڤيار یا بنەرەت یا تیکەل </t>
  </si>
  <si>
    <t>كه‌ڤين يابنه‌ره‌ت ياتێكه‌ل</t>
  </si>
  <si>
    <t>كه‌ندال یا بنه‌ره‌ت يا تێكه‌ل</t>
  </si>
  <si>
    <t xml:space="preserve">كولێ یا بنەرەت یا تیکەل </t>
  </si>
  <si>
    <t>كومه‌لگه‌ها بارزان يا بنه‌ره‌ت يا تيكه‌ل</t>
  </si>
  <si>
    <t>كێره‌ يا بنه‌ره‌تى يا تێكه‌ل</t>
  </si>
  <si>
    <t>كێلاسپی یا بنه‌ره‌ت يا تێكه‌ل</t>
  </si>
  <si>
    <t>كێلكێ یا بنەرەت يا تێكه‌ل</t>
  </si>
  <si>
    <t>کانی ڕهال یا بنەرەتی  یا تێکەل</t>
  </si>
  <si>
    <t>گرره‌ش يا بنه‌ره‌ت يا تێكه‌ل</t>
  </si>
  <si>
    <t>گرشين يا بنه‌ره‌ت يا تێكه‌ل</t>
  </si>
  <si>
    <t xml:space="preserve">گرك سندی یا بنەرەت یا تیکەل </t>
  </si>
  <si>
    <t>گرێ بيێ يا بنه‌ره‌ت يا تێكه‌ل</t>
  </si>
  <si>
    <t xml:space="preserve">گه‌شبین یا بنه‌ره‌ت یا تیکەل </t>
  </si>
  <si>
    <t>گه‌شوار يا بنه‌ره‌تى يا كچان</t>
  </si>
  <si>
    <t>گوران يابنه‌ره‌ت يا تيكه ل</t>
  </si>
  <si>
    <t>گولدار يا بنه‌ره‌ت يا تيكه‌ل</t>
  </si>
  <si>
    <t xml:space="preserve">گولشاد یا بنەرەت یا تیکەل </t>
  </si>
  <si>
    <t>لاڤين يابنه‌ره‌ت ياتيكه‌ل</t>
  </si>
  <si>
    <t>لوشان یابنەرەت یاتیکەل</t>
  </si>
  <si>
    <t>لولاڤ یا بنەڕەتى یا تێکەل</t>
  </si>
  <si>
    <t>لێڤو يا بنه‌ره‌تى يا تێكه‌ل</t>
  </si>
  <si>
    <t xml:space="preserve">مقداد مدحه‌ت یا بنەرەت یا تیکەل </t>
  </si>
  <si>
    <t>مه‌لا عه‌ره‌ب يا بنه‌ره‌تى يا تێكه‌ل</t>
  </si>
  <si>
    <t>مه‌ياڤ يا بنه‌ره‌تى يا تێكه‌ل</t>
  </si>
  <si>
    <t>ناڤكه‌ندالا يا بنه‌ره‌ت يا تێكه‌ل</t>
  </si>
  <si>
    <t>نوڤار يا بنه‌ره‌تى يا تێكه‌ل</t>
  </si>
  <si>
    <t>نوڤين يا بنه‌ره‌تى يا تێكه‌ل</t>
  </si>
  <si>
    <t>نويده‌م يا بنه‌ره‌تى يا كوران</t>
  </si>
  <si>
    <t>نيپێل یا بنەرەت یا کوران</t>
  </si>
  <si>
    <t>نيروژ يا بنه‌ره‌تى يا تێكه‌ل</t>
  </si>
  <si>
    <t>نيلوڤ یا بنەرەت یا کچان</t>
  </si>
  <si>
    <t xml:space="preserve">نەهرى یا بنەرەت یا تیکەل </t>
  </si>
  <si>
    <t>هاجيا يا بنەرەت يا تێكه‌ل</t>
  </si>
  <si>
    <t>هزر ئێڤاران یا بنەرەت یا کوران</t>
  </si>
  <si>
    <t>هنداڤ یابنەرەت یاکچان</t>
  </si>
  <si>
    <t>هه‌رێم يا بنه‌ره‌تى يا تێكه‌ل</t>
  </si>
  <si>
    <t>هه‌ژين يا بنه‌ره‌ت يا تێكه‌ل</t>
  </si>
  <si>
    <t>هه‌ست يا بنه‌ره‌تى يا تێكه‌ل</t>
  </si>
  <si>
    <t>هه‌ڤووت يا بنه‌ره‌تى يا كوران</t>
  </si>
  <si>
    <t>هه‌لو يا بنه‌ره‌تى يا عه‌ره‌بى يا تێكه‌ل</t>
  </si>
  <si>
    <t>هوزان یا بنەرەت یا کچان</t>
  </si>
  <si>
    <t>هيزاوا يا بنه‌ره‌تى يا تێكه‌ل</t>
  </si>
  <si>
    <t>هيزل يا بنه‌ره‌تى يا تێكه‌ل</t>
  </si>
  <si>
    <t>هێز يابنه‌ره‌ت ياكوران</t>
  </si>
  <si>
    <t>هێژا يا بنه‌ره‌ت يا كوران</t>
  </si>
  <si>
    <t>هێلین ئێڤاران یا بنەرەت یا کچان</t>
  </si>
  <si>
    <t>يه‌كبوون یا بنەرەت یا کوران</t>
  </si>
  <si>
    <t>ئاراس يا بنه‌ره‌تى يا تێكه‌ل</t>
  </si>
  <si>
    <t>ئاسيهێ يا بنه‌ره‌ت يا تێكه‌ل</t>
  </si>
  <si>
    <t>ئافرما يا بنه‌ره‌تى يا تێكه‌ل</t>
  </si>
  <si>
    <t>ئاڤاك يا بنه‌ره‌تى يا ئه‌رمه‌نى يا تێكه‌ل</t>
  </si>
  <si>
    <t xml:space="preserve">ئاڤزريك ميرى یا بنەرەت يا تێكه‌ل </t>
  </si>
  <si>
    <t xml:space="preserve">ئاڤزریک ژوورى یابنەرەت یا تیکەل </t>
  </si>
  <si>
    <t>ئاڤگه‌نى يا بنه‌ره‌تى يا تێكه‌ل</t>
  </si>
  <si>
    <t>ئه‌حمه‌دێ خانێ يا بنه‌ره‌تى يا تێكه‌ل</t>
  </si>
  <si>
    <t>ئه‌رمه‌ن يا بنه‌ره‌تى يا تێكه‌ل</t>
  </si>
  <si>
    <t>ئومێد يا بنه‌ره‌تى يا تێكه‌ل</t>
  </si>
  <si>
    <t>بێرى یا خاندنا يا بله‌ز يا كچان</t>
  </si>
  <si>
    <t>ئه‌يلول يا خاندنا بله‌ز يا كوران</t>
  </si>
  <si>
    <t>1 تا 9</t>
  </si>
  <si>
    <t>1 تا 6</t>
  </si>
  <si>
    <t>7 تا 9</t>
  </si>
  <si>
    <t>تێبينى// بۆ به‌رسڤدانا به‌لێ يان نه‌خێر ژماره‌ 0 بنڤێسه‌</t>
  </si>
  <si>
    <t>ئايـيـن</t>
  </si>
  <si>
    <t>زانست</t>
  </si>
  <si>
    <t>ڕێڤه‌به‌ريا دلنيايى جورى و سه‌رپه‌رشتيكرنا په‌روه‌رده‌يى / زاخۆ</t>
  </si>
  <si>
    <t xml:space="preserve">دواناوەندیا چیایێ سپی یا تێکەل </t>
  </si>
  <si>
    <t>دواناوەندیا گرشین یا تێکەل</t>
  </si>
  <si>
    <t>فۆرما ڕێكخستنا ميلاكێ قوتابخانێت بنه‌ره‌ت بۆ سالا خۆواندنێ (2026-2027)</t>
  </si>
  <si>
    <t>مامۆستايێن موله‌تدار</t>
  </si>
  <si>
    <t>جورێ موله‌تێ</t>
  </si>
  <si>
    <t>ماوێ موله‌تێ</t>
  </si>
  <si>
    <t>ده‌رونزانى</t>
  </si>
  <si>
    <t>ز.عه‌ره‌بى</t>
  </si>
  <si>
    <t>ز.ئنگليزى</t>
  </si>
  <si>
    <t>كومه‌لايه‌تى</t>
  </si>
  <si>
    <t>كارامه‌يى</t>
  </si>
  <si>
    <t>كومبيوته‌ر</t>
  </si>
  <si>
    <t xml:space="preserve">هونه‌ر </t>
  </si>
  <si>
    <t>وه‌رزش</t>
  </si>
  <si>
    <t>سه‌رجه‌مێ وانێت قوتابخانێ</t>
  </si>
  <si>
    <t>سه‌رجه‌مێ وانێت ميلاكى</t>
  </si>
  <si>
    <t>تێبينى// پێدڤيه‌ سه‌رجه‌مێ وانێت قوتابخانێ دگه‌ل يێن ميلاكى يه‌كسانبن)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</si>
</sst>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Unikurd Jino"/>
      <family val="2"/>
    </font>
    <font>
      <sz val="8"/>
      <name val="Calibri"/>
      <family val="2"/>
      <scheme val="minor"/>
    </font>
    <font>
      <sz val="14"/>
      <color theme="1"/>
      <name val="Unikurd Jino"/>
      <family val="2"/>
    </font>
    <font>
      <sz val="14"/>
      <color theme="1"/>
      <name val="Calibri"/>
      <family val="2"/>
      <scheme val="minor"/>
    </font>
    <font>
      <sz val="11"/>
      <color rgb="FFFF0000"/>
      <name val="Unikurd Jino"/>
      <family val="2"/>
    </font>
    <font>
      <sz val="12"/>
      <color rgb="FF000000"/>
      <name val="Unikurd Jino"/>
      <family val="2"/>
    </font>
    <font>
      <b/>
      <sz val="11"/>
      <color theme="1"/>
      <name val="Unikurd Jino"/>
      <family val="2"/>
    </font>
    <font>
      <sz val="16"/>
      <color rgb="FFFF0000"/>
      <name val="Unikurd Jino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right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right" vertical="center" readingOrder="2"/>
    </xf>
    <xf numFmtId="0" fontId="1" fillId="0" borderId="5" xfId="0" applyFont="1" applyBorder="1" applyAlignment="1">
      <alignment horizontal="center" vertical="center" readingOrder="2"/>
    </xf>
    <xf numFmtId="0" fontId="1" fillId="0" borderId="6" xfId="0" applyFont="1" applyBorder="1" applyAlignment="1">
      <alignment horizontal="center" vertical="center" readingOrder="2"/>
    </xf>
    <xf numFmtId="0" fontId="1" fillId="0" borderId="7" xfId="0" applyFont="1" applyBorder="1" applyAlignment="1">
      <alignment horizontal="center" vertical="center" readingOrder="2"/>
    </xf>
    <xf numFmtId="0" fontId="1" fillId="0" borderId="1" xfId="0" applyFont="1" applyBorder="1" applyAlignment="1">
      <alignment vertical="center" readingOrder="2"/>
    </xf>
    <xf numFmtId="0" fontId="1" fillId="0" borderId="8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vertical="center" readingOrder="2"/>
    </xf>
    <xf numFmtId="0" fontId="1" fillId="0" borderId="10" xfId="0" applyFont="1" applyBorder="1" applyAlignment="1">
      <alignment horizontal="center" vertical="center" readingOrder="2"/>
    </xf>
    <xf numFmtId="0" fontId="1" fillId="2" borderId="0" xfId="0" applyFont="1" applyFill="1" applyAlignment="1">
      <alignment horizontal="center" vertical="center" readingOrder="2"/>
    </xf>
    <xf numFmtId="0" fontId="1" fillId="2" borderId="0" xfId="0" applyFont="1" applyFill="1" applyAlignment="1">
      <alignment horizontal="center" vertical="center" wrapText="1" readingOrder="2"/>
    </xf>
    <xf numFmtId="0" fontId="4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 readingOrder="2"/>
    </xf>
    <xf numFmtId="0" fontId="1" fillId="0" borderId="14" xfId="0" applyFont="1" applyBorder="1" applyAlignment="1">
      <alignment horizontal="center" vertical="center" readingOrder="2"/>
    </xf>
    <xf numFmtId="0" fontId="1" fillId="0" borderId="9" xfId="0" applyFont="1" applyBorder="1" applyAlignment="1">
      <alignment horizontal="right" vertical="center" readingOrder="2"/>
    </xf>
    <xf numFmtId="16" fontId="1" fillId="0" borderId="0" xfId="0" applyNumberFormat="1" applyFont="1" applyAlignment="1">
      <alignment horizontal="center" vertical="center" readingOrder="2"/>
    </xf>
    <xf numFmtId="0" fontId="5" fillId="0" borderId="0" xfId="0" applyFont="1" applyAlignment="1">
      <alignment horizontal="right" vertical="center" readingOrder="2"/>
    </xf>
    <xf numFmtId="0" fontId="1" fillId="3" borderId="1" xfId="0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right" vertical="center" readingOrder="2"/>
    </xf>
    <xf numFmtId="0" fontId="1" fillId="3" borderId="1" xfId="0" applyFont="1" applyFill="1" applyBorder="1" applyAlignment="1">
      <alignment vertical="center" readingOrder="2"/>
    </xf>
    <xf numFmtId="0" fontId="1" fillId="3" borderId="1" xfId="0" applyFont="1" applyFill="1" applyBorder="1" applyAlignment="1">
      <alignment horizontal="center" vertical="center" textRotation="90" readingOrder="2"/>
    </xf>
    <xf numFmtId="0" fontId="6" fillId="3" borderId="1" xfId="0" applyFont="1" applyFill="1" applyBorder="1" applyAlignment="1">
      <alignment horizontal="center" vertical="center" textRotation="90" wrapText="1" readingOrder="2"/>
    </xf>
    <xf numFmtId="0" fontId="1" fillId="0" borderId="5" xfId="0" applyFont="1" applyBorder="1" applyAlignment="1">
      <alignment vertical="center" readingOrder="2"/>
    </xf>
    <xf numFmtId="0" fontId="1" fillId="0" borderId="7" xfId="0" applyFont="1" applyBorder="1" applyAlignment="1">
      <alignment vertical="center" readingOrder="2"/>
    </xf>
    <xf numFmtId="0" fontId="1" fillId="3" borderId="1" xfId="0" applyFont="1" applyFill="1" applyBorder="1" applyAlignment="1">
      <alignment horizontal="center" vertical="center" readingOrder="2"/>
    </xf>
    <xf numFmtId="0" fontId="7" fillId="3" borderId="1" xfId="0" applyFont="1" applyFill="1" applyBorder="1" applyAlignment="1">
      <alignment horizontal="center" vertical="center" readingOrder="2"/>
    </xf>
    <xf numFmtId="0" fontId="8" fillId="0" borderId="9" xfId="0" applyFont="1" applyBorder="1" applyAlignment="1">
      <alignment horizontal="center" vertical="center" wrapText="1" readingOrder="2"/>
    </xf>
    <xf numFmtId="0" fontId="8" fillId="0" borderId="8" xfId="0" applyFont="1" applyBorder="1" applyAlignment="1">
      <alignment horizontal="center" vertical="center" wrapText="1" readingOrder="2"/>
    </xf>
    <xf numFmtId="0" fontId="8" fillId="0" borderId="10" xfId="0" applyFont="1" applyBorder="1" applyAlignment="1">
      <alignment horizontal="center" vertical="center" wrapText="1" readingOrder="2"/>
    </xf>
    <xf numFmtId="0" fontId="8" fillId="0" borderId="13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8" fillId="0" borderId="14" xfId="0" applyFont="1" applyBorder="1" applyAlignment="1">
      <alignment horizontal="center" vertical="center" wrapText="1" readingOrder="2"/>
    </xf>
    <xf numFmtId="0" fontId="8" fillId="0" borderId="5" xfId="0" applyFont="1" applyBorder="1" applyAlignment="1">
      <alignment horizontal="center" vertical="center" wrapText="1" readingOrder="2"/>
    </xf>
    <xf numFmtId="0" fontId="8" fillId="0" borderId="7" xfId="0" applyFont="1" applyBorder="1" applyAlignment="1">
      <alignment horizontal="center" vertical="center" wrapText="1" readingOrder="2"/>
    </xf>
    <xf numFmtId="0" fontId="8" fillId="0" borderId="6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 vertical="center" readingOrder="2"/>
    </xf>
    <xf numFmtId="0" fontId="1" fillId="3" borderId="2" xfId="0" applyFont="1" applyFill="1" applyBorder="1" applyAlignment="1">
      <alignment horizontal="center" vertical="center" readingOrder="2"/>
    </xf>
    <xf numFmtId="0" fontId="1" fillId="3" borderId="3" xfId="0" applyFont="1" applyFill="1" applyBorder="1" applyAlignment="1">
      <alignment horizontal="center" vertical="center" readingOrder="2"/>
    </xf>
    <xf numFmtId="0" fontId="1" fillId="3" borderId="4" xfId="0" applyFont="1" applyFill="1" applyBorder="1" applyAlignment="1">
      <alignment horizontal="center" vertical="center" readingOrder="2"/>
    </xf>
    <xf numFmtId="14" fontId="1" fillId="0" borderId="1" xfId="0" applyNumberFormat="1" applyFont="1" applyBorder="1" applyAlignment="1">
      <alignment horizontal="center" vertical="center" readingOrder="2"/>
    </xf>
    <xf numFmtId="49" fontId="1" fillId="0" borderId="1" xfId="0" applyNumberFormat="1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 readingOrder="2"/>
    </xf>
    <xf numFmtId="0" fontId="1" fillId="0" borderId="4" xfId="0" applyFont="1" applyBorder="1" applyAlignment="1">
      <alignment horizontal="center" vertical="center" readingOrder="2"/>
    </xf>
    <xf numFmtId="0" fontId="1" fillId="3" borderId="11" xfId="0" applyFont="1" applyFill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1" fillId="3" borderId="12" xfId="0" applyFont="1" applyFill="1" applyBorder="1" applyAlignment="1">
      <alignment horizontal="center" vertical="center" readingOrder="2"/>
    </xf>
    <xf numFmtId="0" fontId="1" fillId="3" borderId="9" xfId="0" applyFont="1" applyFill="1" applyBorder="1" applyAlignment="1">
      <alignment horizontal="center" vertical="center" readingOrder="2"/>
    </xf>
    <xf numFmtId="0" fontId="1" fillId="3" borderId="10" xfId="0" applyFont="1" applyFill="1" applyBorder="1" applyAlignment="1">
      <alignment horizontal="center" vertical="center" readingOrder="2"/>
    </xf>
    <xf numFmtId="0" fontId="1" fillId="3" borderId="5" xfId="0" applyFont="1" applyFill="1" applyBorder="1" applyAlignment="1">
      <alignment horizontal="center" vertical="center" readingOrder="2"/>
    </xf>
    <xf numFmtId="0" fontId="1" fillId="3" borderId="6" xfId="0" applyFont="1" applyFill="1" applyBorder="1" applyAlignment="1">
      <alignment horizontal="center" vertical="center" readingOrder="2"/>
    </xf>
    <xf numFmtId="0" fontId="1" fillId="3" borderId="8" xfId="0" applyFont="1" applyFill="1" applyBorder="1" applyAlignment="1">
      <alignment horizontal="center" vertical="center" readingOrder="2"/>
    </xf>
    <xf numFmtId="0" fontId="1" fillId="3" borderId="7" xfId="0" applyFont="1" applyFill="1" applyBorder="1" applyAlignment="1">
      <alignment horizontal="center" vertical="center" readingOrder="2"/>
    </xf>
    <xf numFmtId="0" fontId="1" fillId="3" borderId="9" xfId="0" applyFont="1" applyFill="1" applyBorder="1" applyAlignment="1">
      <alignment horizontal="center" vertical="center" wrapText="1" readingOrder="2"/>
    </xf>
    <xf numFmtId="0" fontId="1" fillId="3" borderId="8" xfId="0" applyFont="1" applyFill="1" applyBorder="1" applyAlignment="1">
      <alignment horizontal="center" vertical="center" wrapText="1" readingOrder="2"/>
    </xf>
    <xf numFmtId="0" fontId="1" fillId="3" borderId="10" xfId="0" applyFont="1" applyFill="1" applyBorder="1" applyAlignment="1">
      <alignment horizontal="center" vertical="center" wrapText="1" readingOrder="2"/>
    </xf>
    <xf numFmtId="0" fontId="1" fillId="3" borderId="5" xfId="0" applyFont="1" applyFill="1" applyBorder="1" applyAlignment="1">
      <alignment horizontal="center" vertical="center" wrapText="1" readingOrder="2"/>
    </xf>
    <xf numFmtId="0" fontId="1" fillId="3" borderId="7" xfId="0" applyFont="1" applyFill="1" applyBorder="1" applyAlignment="1">
      <alignment horizontal="center" vertical="center" wrapText="1" readingOrder="2"/>
    </xf>
    <xf numFmtId="0" fontId="1" fillId="3" borderId="6" xfId="0" applyFont="1" applyFill="1" applyBorder="1" applyAlignment="1">
      <alignment horizontal="center" vertical="center" wrapText="1" readingOrder="2"/>
    </xf>
    <xf numFmtId="0" fontId="1" fillId="3" borderId="15" xfId="0" applyFont="1" applyFill="1" applyBorder="1" applyAlignment="1">
      <alignment horizontal="center" vertical="center" readingOrder="2"/>
    </xf>
    <xf numFmtId="0" fontId="1" fillId="0" borderId="15" xfId="0" applyFont="1" applyBorder="1" applyAlignment="1">
      <alignment horizontal="center" vertical="center" readingOrder="2"/>
    </xf>
    <xf numFmtId="0" fontId="3" fillId="0" borderId="0" xfId="0" applyFont="1" applyAlignment="1">
      <alignment horizontal="center" vertical="center" readingOrder="2"/>
    </xf>
    <xf numFmtId="0" fontId="1" fillId="3" borderId="11" xfId="0" applyFont="1" applyFill="1" applyBorder="1" applyAlignment="1">
      <alignment horizontal="center" vertical="center" textRotation="90" readingOrder="2"/>
    </xf>
    <xf numFmtId="0" fontId="1" fillId="3" borderId="12" xfId="0" applyFont="1" applyFill="1" applyBorder="1" applyAlignment="1">
      <alignment horizontal="center" vertical="center" textRotation="90" readingOrder="2"/>
    </xf>
    <xf numFmtId="0" fontId="1" fillId="3" borderId="16" xfId="0" applyFont="1" applyFill="1" applyBorder="1" applyAlignment="1">
      <alignment horizontal="center" vertical="center" readingOrder="2"/>
    </xf>
    <xf numFmtId="0" fontId="1" fillId="3" borderId="17" xfId="0" applyFont="1" applyFill="1" applyBorder="1" applyAlignment="1">
      <alignment horizontal="center" vertical="center" readingOrder="2"/>
    </xf>
    <xf numFmtId="0" fontId="1" fillId="0" borderId="16" xfId="0" applyFont="1" applyBorder="1" applyAlignment="1">
      <alignment horizontal="center" vertical="center" readingOrder="2"/>
    </xf>
    <xf numFmtId="0" fontId="1" fillId="0" borderId="17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D592-BE67-40B4-AF0E-D18AF4296164}">
  <dimension ref="A1:BD195"/>
  <sheetViews>
    <sheetView rightToLeft="1" tabSelected="1" topLeftCell="A46" zoomScaleNormal="100" workbookViewId="0">
      <selection activeCell="A48" sqref="A48:W55"/>
    </sheetView>
  </sheetViews>
  <sheetFormatPr defaultRowHeight="28.5" customHeight="1" x14ac:dyDescent="0.25"/>
  <cols>
    <col min="1" max="23" width="4.28515625" style="1" customWidth="1"/>
    <col min="24" max="30" width="4.42578125" style="1" customWidth="1"/>
    <col min="31" max="31" width="3.85546875" style="1" customWidth="1"/>
    <col min="32" max="45" width="9.140625" style="1"/>
    <col min="46" max="46" width="29.140625" style="1" customWidth="1"/>
    <col min="47" max="56" width="29.140625" style="1" hidden="1" customWidth="1"/>
    <col min="57" max="57" width="29.140625" style="1" customWidth="1"/>
    <col min="58" max="16384" width="9.140625" style="1"/>
  </cols>
  <sheetData>
    <row r="1" spans="1:56" ht="26.1" customHeight="1" x14ac:dyDescent="0.25">
      <c r="A1" s="40" t="s">
        <v>283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AU1" s="13" t="s">
        <v>1</v>
      </c>
      <c r="AV1" s="13" t="s">
        <v>2</v>
      </c>
      <c r="AW1" s="13" t="s">
        <v>3</v>
      </c>
      <c r="AX1" s="13" t="s">
        <v>5</v>
      </c>
      <c r="AY1" s="13" t="s">
        <v>4</v>
      </c>
      <c r="AZ1" s="13" t="s">
        <v>2</v>
      </c>
      <c r="BA1" s="13" t="s">
        <v>16</v>
      </c>
      <c r="BB1" s="14" t="s">
        <v>48</v>
      </c>
      <c r="BC1" s="14" t="s">
        <v>52</v>
      </c>
      <c r="BD1" s="14" t="s">
        <v>23</v>
      </c>
    </row>
    <row r="2" spans="1:56" ht="26.1" customHeight="1" x14ac:dyDescent="0.25">
      <c r="A2" s="2" t="s">
        <v>280</v>
      </c>
      <c r="AU2" s="15" t="s">
        <v>281</v>
      </c>
      <c r="AV2" s="1" t="s">
        <v>6</v>
      </c>
      <c r="AW2" s="19" t="s">
        <v>275</v>
      </c>
      <c r="AX2" s="1" t="s">
        <v>8</v>
      </c>
      <c r="AY2" s="1" t="s">
        <v>11</v>
      </c>
      <c r="AZ2" s="1" t="s">
        <v>14</v>
      </c>
      <c r="BA2" s="1" t="s">
        <v>71</v>
      </c>
      <c r="BB2" s="1" t="s">
        <v>49</v>
      </c>
      <c r="BC2" s="10" t="s">
        <v>53</v>
      </c>
      <c r="BD2" s="1" t="s">
        <v>24</v>
      </c>
    </row>
    <row r="3" spans="1:56" ht="26.1" customHeight="1" x14ac:dyDescent="0.25">
      <c r="A3" s="2" t="s">
        <v>0</v>
      </c>
      <c r="AU3" s="15" t="s">
        <v>282</v>
      </c>
      <c r="AV3" s="1" t="s">
        <v>7</v>
      </c>
      <c r="AW3" s="19" t="s">
        <v>274</v>
      </c>
      <c r="AX3" s="1" t="s">
        <v>9</v>
      </c>
      <c r="AY3" s="1" t="s">
        <v>12</v>
      </c>
      <c r="AZ3" s="1" t="s">
        <v>15</v>
      </c>
      <c r="BA3" s="1" t="s">
        <v>72</v>
      </c>
      <c r="BB3" s="1" t="s">
        <v>50</v>
      </c>
      <c r="BC3" s="10" t="s">
        <v>54</v>
      </c>
      <c r="BD3" s="1" t="s">
        <v>25</v>
      </c>
    </row>
    <row r="4" spans="1:56" ht="26.1" customHeight="1" x14ac:dyDescent="0.25">
      <c r="A4" s="2"/>
      <c r="AU4" s="15" t="s">
        <v>85</v>
      </c>
      <c r="AV4" s="1" t="s">
        <v>70</v>
      </c>
      <c r="AW4" s="19" t="s">
        <v>276</v>
      </c>
      <c r="AX4" s="1" t="s">
        <v>32</v>
      </c>
      <c r="AY4" s="1" t="s">
        <v>33</v>
      </c>
      <c r="BA4" s="1" t="s">
        <v>73</v>
      </c>
      <c r="BC4" s="10" t="s">
        <v>55</v>
      </c>
      <c r="BD4" s="1" t="s">
        <v>83</v>
      </c>
    </row>
    <row r="5" spans="1:56" ht="26.1" customHeight="1" x14ac:dyDescent="0.25">
      <c r="A5" s="41" t="s">
        <v>51</v>
      </c>
      <c r="B5" s="42"/>
      <c r="C5" s="42"/>
      <c r="D5" s="42"/>
      <c r="E5" s="42"/>
      <c r="F5" s="42"/>
      <c r="G5" s="42"/>
      <c r="H5" s="42"/>
      <c r="I5" s="42"/>
      <c r="J5" s="42"/>
      <c r="K5" s="43"/>
      <c r="M5" s="41" t="s">
        <v>41</v>
      </c>
      <c r="N5" s="42"/>
      <c r="O5" s="42"/>
      <c r="P5" s="42"/>
      <c r="Q5" s="42"/>
      <c r="R5" s="42"/>
      <c r="S5" s="42"/>
      <c r="T5" s="42"/>
      <c r="U5" s="42"/>
      <c r="V5" s="42"/>
      <c r="W5" s="43"/>
      <c r="AU5" s="15" t="s">
        <v>86</v>
      </c>
      <c r="AX5" s="1" t="s">
        <v>10</v>
      </c>
      <c r="AY5" s="1" t="s">
        <v>13</v>
      </c>
      <c r="BA5" s="1" t="s">
        <v>74</v>
      </c>
    </row>
    <row r="6" spans="1:56" ht="26.1" customHeight="1" x14ac:dyDescent="0.25">
      <c r="A6" s="28" t="s">
        <v>17</v>
      </c>
      <c r="B6" s="28"/>
      <c r="C6" s="28"/>
      <c r="D6" s="39"/>
      <c r="E6" s="39"/>
      <c r="F6" s="39"/>
      <c r="G6" s="39"/>
      <c r="H6" s="39"/>
      <c r="I6" s="39"/>
      <c r="J6" s="39"/>
      <c r="K6" s="39"/>
      <c r="M6" s="28" t="s">
        <v>42</v>
      </c>
      <c r="N6" s="28"/>
      <c r="O6" s="28"/>
      <c r="P6" s="28"/>
      <c r="Q6" s="28" t="s">
        <v>44</v>
      </c>
      <c r="R6" s="28"/>
      <c r="S6" s="28" t="s">
        <v>43</v>
      </c>
      <c r="T6" s="28"/>
      <c r="U6" s="28" t="s">
        <v>30</v>
      </c>
      <c r="V6" s="28"/>
      <c r="W6" s="28"/>
      <c r="AU6" s="15" t="s">
        <v>87</v>
      </c>
      <c r="BA6" s="1" t="s">
        <v>75</v>
      </c>
    </row>
    <row r="7" spans="1:56" ht="26.1" customHeight="1" x14ac:dyDescent="0.25">
      <c r="A7" s="28" t="s">
        <v>22</v>
      </c>
      <c r="B7" s="28"/>
      <c r="C7" s="28"/>
      <c r="D7" s="39"/>
      <c r="E7" s="39"/>
      <c r="F7" s="39"/>
      <c r="G7" s="39"/>
      <c r="H7" s="39"/>
      <c r="I7" s="39"/>
      <c r="J7" s="39"/>
      <c r="K7" s="39"/>
      <c r="M7" s="28" t="s">
        <v>45</v>
      </c>
      <c r="N7" s="28"/>
      <c r="O7" s="28"/>
      <c r="P7" s="28"/>
      <c r="Q7" s="39"/>
      <c r="R7" s="39"/>
      <c r="S7" s="39"/>
      <c r="T7" s="39"/>
      <c r="U7" s="39"/>
      <c r="V7" s="39"/>
      <c r="W7" s="39"/>
      <c r="AU7" s="15" t="s">
        <v>88</v>
      </c>
      <c r="BA7" s="1" t="s">
        <v>76</v>
      </c>
    </row>
    <row r="8" spans="1:56" ht="26.1" customHeight="1" x14ac:dyDescent="0.25">
      <c r="A8" s="28" t="s">
        <v>18</v>
      </c>
      <c r="B8" s="28"/>
      <c r="C8" s="28"/>
      <c r="D8" s="39"/>
      <c r="E8" s="39"/>
      <c r="F8" s="39"/>
      <c r="G8" s="39"/>
      <c r="H8" s="39"/>
      <c r="I8" s="39"/>
      <c r="J8" s="39"/>
      <c r="K8" s="39"/>
      <c r="M8" s="28" t="s">
        <v>46</v>
      </c>
      <c r="N8" s="28"/>
      <c r="O8" s="28"/>
      <c r="P8" s="28"/>
      <c r="Q8" s="39"/>
      <c r="R8" s="39"/>
      <c r="S8" s="39"/>
      <c r="T8" s="39"/>
      <c r="U8" s="39"/>
      <c r="V8" s="39"/>
      <c r="W8" s="39"/>
      <c r="AU8" s="15" t="s">
        <v>89</v>
      </c>
    </row>
    <row r="9" spans="1:56" ht="26.1" customHeight="1" x14ac:dyDescent="0.25">
      <c r="A9" s="28" t="s">
        <v>19</v>
      </c>
      <c r="B9" s="28"/>
      <c r="C9" s="28"/>
      <c r="D9" s="39"/>
      <c r="E9" s="39"/>
      <c r="F9" s="39"/>
      <c r="G9" s="39"/>
      <c r="H9" s="39"/>
      <c r="I9" s="39"/>
      <c r="J9" s="39"/>
      <c r="K9" s="39"/>
      <c r="M9" s="28" t="s">
        <v>47</v>
      </c>
      <c r="N9" s="28"/>
      <c r="O9" s="28"/>
      <c r="P9" s="28"/>
      <c r="Q9" s="39"/>
      <c r="R9" s="39"/>
      <c r="S9" s="39"/>
      <c r="T9" s="39"/>
      <c r="U9" s="39"/>
      <c r="V9" s="39"/>
      <c r="W9" s="39"/>
      <c r="AU9" s="15" t="s">
        <v>90</v>
      </c>
    </row>
    <row r="10" spans="1:56" ht="26.1" customHeight="1" x14ac:dyDescent="0.25">
      <c r="A10" s="28" t="s">
        <v>21</v>
      </c>
      <c r="B10" s="28"/>
      <c r="C10" s="28"/>
      <c r="D10" s="39"/>
      <c r="E10" s="39"/>
      <c r="F10" s="39"/>
      <c r="G10" s="39"/>
      <c r="H10" s="39"/>
      <c r="I10" s="39"/>
      <c r="J10" s="39"/>
      <c r="K10" s="39"/>
      <c r="AU10" s="15" t="s">
        <v>91</v>
      </c>
    </row>
    <row r="11" spans="1:56" ht="26.1" customHeight="1" x14ac:dyDescent="0.25">
      <c r="A11" s="28" t="s">
        <v>20</v>
      </c>
      <c r="B11" s="28"/>
      <c r="C11" s="28"/>
      <c r="D11" s="39"/>
      <c r="E11" s="39"/>
      <c r="F11" s="39"/>
      <c r="G11" s="39"/>
      <c r="H11" s="39"/>
      <c r="I11" s="39"/>
      <c r="J11" s="39"/>
      <c r="K11" s="39"/>
      <c r="M11" s="28" t="s">
        <v>48</v>
      </c>
      <c r="N11" s="28"/>
      <c r="O11" s="28"/>
      <c r="P11" s="28"/>
      <c r="Q11" s="39"/>
      <c r="R11" s="39"/>
      <c r="AU11" s="15" t="s">
        <v>92</v>
      </c>
    </row>
    <row r="12" spans="1:56" ht="26.1" customHeight="1" x14ac:dyDescent="0.25">
      <c r="AU12" s="15" t="s">
        <v>93</v>
      </c>
    </row>
    <row r="13" spans="1:56" ht="26.1" customHeight="1" x14ac:dyDescent="0.25">
      <c r="A13" s="28" t="s">
        <v>23</v>
      </c>
      <c r="B13" s="28"/>
      <c r="C13" s="28" t="s">
        <v>26</v>
      </c>
      <c r="D13" s="28"/>
      <c r="E13" s="28"/>
      <c r="F13" s="28"/>
      <c r="G13" s="28"/>
      <c r="H13" s="28"/>
      <c r="I13" s="22" t="s">
        <v>2</v>
      </c>
      <c r="J13" s="28" t="s">
        <v>16</v>
      </c>
      <c r="K13" s="28"/>
      <c r="L13" s="28" t="s">
        <v>27</v>
      </c>
      <c r="M13" s="28"/>
      <c r="N13" s="23" t="s">
        <v>31</v>
      </c>
      <c r="O13" s="28" t="s">
        <v>28</v>
      </c>
      <c r="P13" s="28"/>
      <c r="Q13" s="28"/>
      <c r="R13" s="28" t="s">
        <v>29</v>
      </c>
      <c r="S13" s="28"/>
      <c r="T13" s="28"/>
      <c r="U13" s="28" t="s">
        <v>30</v>
      </c>
      <c r="V13" s="28"/>
      <c r="W13" s="28"/>
      <c r="AU13" s="15" t="s">
        <v>94</v>
      </c>
    </row>
    <row r="14" spans="1:56" ht="26.1" customHeight="1" x14ac:dyDescent="0.25">
      <c r="A14" s="28" t="s">
        <v>24</v>
      </c>
      <c r="B14" s="28"/>
      <c r="C14" s="39"/>
      <c r="D14" s="39"/>
      <c r="E14" s="39"/>
      <c r="F14" s="39"/>
      <c r="G14" s="39"/>
      <c r="H14" s="39"/>
      <c r="I14" s="4"/>
      <c r="J14" s="39"/>
      <c r="K14" s="39"/>
      <c r="L14" s="39"/>
      <c r="M14" s="39"/>
      <c r="N14" s="8"/>
      <c r="O14" s="44"/>
      <c r="P14" s="44"/>
      <c r="Q14" s="44"/>
      <c r="R14" s="45"/>
      <c r="S14" s="45"/>
      <c r="T14" s="45"/>
      <c r="U14" s="39"/>
      <c r="V14" s="39"/>
      <c r="W14" s="39"/>
      <c r="AU14" s="15" t="s">
        <v>95</v>
      </c>
    </row>
    <row r="15" spans="1:56" ht="26.1" customHeight="1" x14ac:dyDescent="0.25">
      <c r="A15" s="28" t="s">
        <v>25</v>
      </c>
      <c r="B15" s="28"/>
      <c r="C15" s="39"/>
      <c r="D15" s="39"/>
      <c r="E15" s="39"/>
      <c r="F15" s="39"/>
      <c r="G15" s="39"/>
      <c r="H15" s="39"/>
      <c r="I15" s="4"/>
      <c r="J15" s="39"/>
      <c r="K15" s="39"/>
      <c r="L15" s="39"/>
      <c r="M15" s="39"/>
      <c r="N15" s="8"/>
      <c r="O15" s="44"/>
      <c r="P15" s="44"/>
      <c r="Q15" s="44"/>
      <c r="R15" s="45"/>
      <c r="S15" s="45"/>
      <c r="T15" s="45"/>
      <c r="U15" s="39"/>
      <c r="V15" s="39"/>
      <c r="W15" s="39"/>
      <c r="AU15" s="15" t="s">
        <v>96</v>
      </c>
    </row>
    <row r="16" spans="1:56" ht="26.1" customHeight="1" x14ac:dyDescent="0.25">
      <c r="A16" s="28" t="s">
        <v>25</v>
      </c>
      <c r="B16" s="28"/>
      <c r="C16" s="39"/>
      <c r="D16" s="39"/>
      <c r="E16" s="39"/>
      <c r="F16" s="39"/>
      <c r="G16" s="39"/>
      <c r="H16" s="39"/>
      <c r="I16" s="4"/>
      <c r="J16" s="39"/>
      <c r="K16" s="39"/>
      <c r="L16" s="39"/>
      <c r="M16" s="39"/>
      <c r="N16" s="8"/>
      <c r="O16" s="44"/>
      <c r="P16" s="44"/>
      <c r="Q16" s="44"/>
      <c r="R16" s="45"/>
      <c r="S16" s="45"/>
      <c r="T16" s="45"/>
      <c r="U16" s="39"/>
      <c r="V16" s="39"/>
      <c r="W16" s="39"/>
      <c r="AU16" s="15" t="s">
        <v>97</v>
      </c>
    </row>
    <row r="17" spans="1:47" ht="26.1" customHeight="1" x14ac:dyDescent="0.25">
      <c r="A17" s="28" t="s">
        <v>25</v>
      </c>
      <c r="B17" s="28"/>
      <c r="C17" s="39"/>
      <c r="D17" s="39"/>
      <c r="E17" s="39"/>
      <c r="F17" s="39"/>
      <c r="G17" s="39"/>
      <c r="H17" s="39"/>
      <c r="I17" s="4"/>
      <c r="J17" s="39"/>
      <c r="K17" s="39"/>
      <c r="L17" s="39"/>
      <c r="M17" s="39"/>
      <c r="N17" s="8"/>
      <c r="O17" s="44"/>
      <c r="P17" s="44"/>
      <c r="Q17" s="44"/>
      <c r="R17" s="45"/>
      <c r="S17" s="45"/>
      <c r="T17" s="45"/>
      <c r="U17" s="39"/>
      <c r="V17" s="39"/>
      <c r="W17" s="39"/>
      <c r="AU17" s="15" t="s">
        <v>98</v>
      </c>
    </row>
    <row r="18" spans="1:47" ht="26.1" customHeight="1" x14ac:dyDescent="0.25">
      <c r="A18" s="28" t="s">
        <v>25</v>
      </c>
      <c r="B18" s="28"/>
      <c r="C18" s="39"/>
      <c r="D18" s="39"/>
      <c r="E18" s="39"/>
      <c r="F18" s="39"/>
      <c r="G18" s="39"/>
      <c r="H18" s="39"/>
      <c r="I18" s="4"/>
      <c r="J18" s="39"/>
      <c r="K18" s="39"/>
      <c r="L18" s="39"/>
      <c r="M18" s="39"/>
      <c r="N18" s="8"/>
      <c r="O18" s="44"/>
      <c r="P18" s="44"/>
      <c r="Q18" s="44"/>
      <c r="R18" s="45"/>
      <c r="S18" s="45"/>
      <c r="T18" s="45"/>
      <c r="U18" s="39"/>
      <c r="V18" s="39"/>
      <c r="W18" s="39"/>
      <c r="AU18" s="15" t="s">
        <v>99</v>
      </c>
    </row>
    <row r="19" spans="1:47" ht="26.1" customHeight="1" x14ac:dyDescent="0.25">
      <c r="AU19" s="15" t="s">
        <v>100</v>
      </c>
    </row>
    <row r="20" spans="1:47" ht="26.1" customHeight="1" x14ac:dyDescent="0.25">
      <c r="A20" s="41" t="s">
        <v>34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  <c r="N20" s="41" t="s">
        <v>52</v>
      </c>
      <c r="O20" s="42"/>
      <c r="P20" s="42"/>
      <c r="Q20" s="42"/>
      <c r="R20" s="43"/>
      <c r="AU20" s="15" t="s">
        <v>101</v>
      </c>
    </row>
    <row r="21" spans="1:47" ht="26.1" customHeight="1" x14ac:dyDescent="0.25">
      <c r="A21" s="28" t="s">
        <v>35</v>
      </c>
      <c r="B21" s="28"/>
      <c r="C21" s="28" t="s">
        <v>36</v>
      </c>
      <c r="D21" s="28"/>
      <c r="E21" s="28" t="s">
        <v>37</v>
      </c>
      <c r="F21" s="28"/>
      <c r="G21" s="28" t="s">
        <v>38</v>
      </c>
      <c r="H21" s="28"/>
      <c r="I21" s="28" t="s">
        <v>39</v>
      </c>
      <c r="J21" s="28"/>
      <c r="K21" s="28"/>
      <c r="N21" s="46"/>
      <c r="O21" s="47"/>
      <c r="P21" s="47"/>
      <c r="Q21" s="47"/>
      <c r="R21" s="48"/>
      <c r="AU21" s="15" t="s">
        <v>102</v>
      </c>
    </row>
    <row r="22" spans="1:47" ht="26.1" customHeight="1" x14ac:dyDescent="0.25">
      <c r="A22" s="28">
        <v>1</v>
      </c>
      <c r="B22" s="28"/>
      <c r="C22" s="39"/>
      <c r="D22" s="39"/>
      <c r="E22" s="39"/>
      <c r="F22" s="39"/>
      <c r="G22" s="39"/>
      <c r="H22" s="39"/>
      <c r="I22" s="39" t="str">
        <f>IF(SUM(E22:G22)=0, "", SUM(E22:G22))</f>
        <v/>
      </c>
      <c r="J22" s="39"/>
      <c r="K22" s="39"/>
      <c r="AU22" s="15" t="s">
        <v>103</v>
      </c>
    </row>
    <row r="23" spans="1:47" ht="26.1" customHeight="1" x14ac:dyDescent="0.25">
      <c r="A23" s="28">
        <v>2</v>
      </c>
      <c r="B23" s="28"/>
      <c r="C23" s="39"/>
      <c r="D23" s="39"/>
      <c r="E23" s="39"/>
      <c r="F23" s="39"/>
      <c r="G23" s="39"/>
      <c r="H23" s="39"/>
      <c r="I23" s="39" t="str">
        <f t="shared" ref="I23:I30" si="0">IF(SUM(E23:G23)=0, "", SUM(E23:G23))</f>
        <v/>
      </c>
      <c r="J23" s="39"/>
      <c r="K23" s="39"/>
      <c r="AU23" s="15" t="s">
        <v>104</v>
      </c>
    </row>
    <row r="24" spans="1:47" ht="26.1" customHeight="1" x14ac:dyDescent="0.25">
      <c r="A24" s="28">
        <v>3</v>
      </c>
      <c r="B24" s="28"/>
      <c r="C24" s="39"/>
      <c r="D24" s="39"/>
      <c r="E24" s="39"/>
      <c r="F24" s="39"/>
      <c r="G24" s="39"/>
      <c r="H24" s="39"/>
      <c r="I24" s="39" t="str">
        <f t="shared" si="0"/>
        <v/>
      </c>
      <c r="J24" s="39"/>
      <c r="K24" s="39"/>
      <c r="AU24" s="15"/>
    </row>
    <row r="25" spans="1:47" ht="26.1" customHeight="1" x14ac:dyDescent="0.25">
      <c r="A25" s="28">
        <v>4</v>
      </c>
      <c r="B25" s="28"/>
      <c r="C25" s="39"/>
      <c r="D25" s="39"/>
      <c r="E25" s="39"/>
      <c r="F25" s="39"/>
      <c r="G25" s="39"/>
      <c r="H25" s="39"/>
      <c r="I25" s="39" t="str">
        <f t="shared" si="0"/>
        <v/>
      </c>
      <c r="J25" s="39"/>
      <c r="K25" s="39"/>
      <c r="AU25" s="15"/>
    </row>
    <row r="26" spans="1:47" ht="26.1" customHeight="1" x14ac:dyDescent="0.25">
      <c r="A26" s="28">
        <v>5</v>
      </c>
      <c r="B26" s="28"/>
      <c r="C26" s="39"/>
      <c r="D26" s="39"/>
      <c r="E26" s="39"/>
      <c r="F26" s="39"/>
      <c r="G26" s="39"/>
      <c r="H26" s="39"/>
      <c r="I26" s="39" t="str">
        <f t="shared" si="0"/>
        <v/>
      </c>
      <c r="J26" s="39"/>
      <c r="K26" s="39"/>
      <c r="AU26" s="15"/>
    </row>
    <row r="27" spans="1:47" ht="26.1" customHeight="1" x14ac:dyDescent="0.25">
      <c r="A27" s="28">
        <v>6</v>
      </c>
      <c r="B27" s="28"/>
      <c r="C27" s="39"/>
      <c r="D27" s="39"/>
      <c r="E27" s="39"/>
      <c r="F27" s="39"/>
      <c r="G27" s="39"/>
      <c r="H27" s="39"/>
      <c r="I27" s="39" t="str">
        <f t="shared" si="0"/>
        <v/>
      </c>
      <c r="J27" s="39"/>
      <c r="K27" s="39"/>
      <c r="M27" s="30" t="s">
        <v>297</v>
      </c>
      <c r="N27" s="31"/>
      <c r="O27" s="31"/>
      <c r="P27" s="31"/>
      <c r="Q27" s="31"/>
      <c r="R27" s="31"/>
      <c r="S27" s="31"/>
      <c r="T27" s="31"/>
      <c r="U27" s="31"/>
      <c r="V27" s="31"/>
      <c r="W27" s="32"/>
      <c r="AU27" s="15" t="s">
        <v>105</v>
      </c>
    </row>
    <row r="28" spans="1:47" ht="26.1" customHeight="1" x14ac:dyDescent="0.25">
      <c r="A28" s="28">
        <v>7</v>
      </c>
      <c r="B28" s="28"/>
      <c r="C28" s="39"/>
      <c r="D28" s="39"/>
      <c r="E28" s="39"/>
      <c r="F28" s="39"/>
      <c r="G28" s="39"/>
      <c r="H28" s="39"/>
      <c r="I28" s="39" t="str">
        <f t="shared" si="0"/>
        <v/>
      </c>
      <c r="J28" s="39"/>
      <c r="K28" s="39"/>
      <c r="M28" s="33"/>
      <c r="N28" s="34"/>
      <c r="O28" s="34"/>
      <c r="P28" s="34"/>
      <c r="Q28" s="34"/>
      <c r="R28" s="34"/>
      <c r="S28" s="34"/>
      <c r="T28" s="34"/>
      <c r="U28" s="34"/>
      <c r="V28" s="34"/>
      <c r="W28" s="35"/>
      <c r="AU28" s="15" t="s">
        <v>106</v>
      </c>
    </row>
    <row r="29" spans="1:47" ht="26.1" customHeight="1" x14ac:dyDescent="0.25">
      <c r="A29" s="28">
        <v>8</v>
      </c>
      <c r="B29" s="28"/>
      <c r="C29" s="39"/>
      <c r="D29" s="39"/>
      <c r="E29" s="39"/>
      <c r="F29" s="39"/>
      <c r="G29" s="39"/>
      <c r="H29" s="39"/>
      <c r="I29" s="39" t="str">
        <f t="shared" si="0"/>
        <v/>
      </c>
      <c r="J29" s="39"/>
      <c r="K29" s="39"/>
      <c r="M29" s="36"/>
      <c r="N29" s="37"/>
      <c r="O29" s="37"/>
      <c r="P29" s="37"/>
      <c r="Q29" s="37"/>
      <c r="R29" s="37"/>
      <c r="S29" s="37"/>
      <c r="T29" s="37"/>
      <c r="U29" s="37"/>
      <c r="V29" s="37"/>
      <c r="W29" s="38"/>
      <c r="AU29" s="15" t="s">
        <v>107</v>
      </c>
    </row>
    <row r="30" spans="1:47" ht="26.1" customHeight="1" x14ac:dyDescent="0.25">
      <c r="A30" s="28">
        <v>9</v>
      </c>
      <c r="B30" s="28"/>
      <c r="C30" s="39"/>
      <c r="D30" s="39"/>
      <c r="E30" s="39"/>
      <c r="F30" s="39"/>
      <c r="G30" s="39"/>
      <c r="H30" s="39"/>
      <c r="I30" s="39" t="str">
        <f t="shared" si="0"/>
        <v/>
      </c>
      <c r="J30" s="39"/>
      <c r="K30" s="39"/>
      <c r="AU30" s="15" t="s">
        <v>108</v>
      </c>
    </row>
    <row r="31" spans="1:47" ht="26.1" customHeight="1" x14ac:dyDescent="0.25">
      <c r="A31" s="49" t="s">
        <v>40</v>
      </c>
      <c r="B31" s="49"/>
      <c r="C31" s="49" t="str">
        <f>IF(SUM(C22:C30)=0, "", SUM(C22:C30))</f>
        <v/>
      </c>
      <c r="D31" s="49"/>
      <c r="E31" s="49" t="str">
        <f t="shared" ref="E31" si="1">IF(SUM(E22:E30)=0, "", SUM(E22:E30))</f>
        <v/>
      </c>
      <c r="F31" s="49"/>
      <c r="G31" s="49" t="str">
        <f t="shared" ref="G31" si="2">IF(SUM(G22:G30)=0, "", SUM(G22:G30))</f>
        <v/>
      </c>
      <c r="H31" s="49"/>
      <c r="I31" s="49" t="str">
        <f>IF(SUM(E31:G31)=0, "", SUM(E31:G31))</f>
        <v/>
      </c>
      <c r="J31" s="49"/>
      <c r="K31" s="49"/>
      <c r="L31" s="26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AU31" s="15" t="s">
        <v>109</v>
      </c>
    </row>
    <row r="32" spans="1:47" ht="26.1" customHeight="1" x14ac:dyDescent="0.25">
      <c r="A32" s="28" t="s">
        <v>295</v>
      </c>
      <c r="B32" s="28"/>
      <c r="C32" s="28"/>
      <c r="D32" s="28"/>
      <c r="E32" s="28"/>
      <c r="F32" s="28"/>
      <c r="G32" s="29" t="str">
        <f>IF(SUM(C22:D30)=0, "", SUM(C22:D30)*30)</f>
        <v/>
      </c>
      <c r="H32" s="29"/>
      <c r="I32" s="29"/>
      <c r="J32" s="29"/>
      <c r="K32" s="29"/>
      <c r="L32" s="28" t="s">
        <v>296</v>
      </c>
      <c r="M32" s="28"/>
      <c r="N32" s="28"/>
      <c r="O32" s="28"/>
      <c r="P32" s="28"/>
      <c r="Q32" s="28"/>
      <c r="R32" s="29" t="str">
        <f>ميلاك!$U$77</f>
        <v/>
      </c>
      <c r="S32" s="29"/>
      <c r="T32" s="29"/>
      <c r="U32" s="29"/>
      <c r="V32" s="29"/>
      <c r="W32" s="29"/>
      <c r="AU32" s="15" t="s">
        <v>110</v>
      </c>
    </row>
    <row r="33" spans="1:47" ht="28.5" customHeight="1" x14ac:dyDescent="0.25">
      <c r="A33" s="41" t="s">
        <v>56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AU33" s="15" t="s">
        <v>111</v>
      </c>
    </row>
    <row r="34" spans="1:47" ht="28.5" customHeight="1" x14ac:dyDescent="0.25">
      <c r="A34" s="41" t="s">
        <v>57</v>
      </c>
      <c r="B34" s="42"/>
      <c r="C34" s="43"/>
      <c r="D34" s="41" t="s">
        <v>38</v>
      </c>
      <c r="E34" s="42"/>
      <c r="F34" s="43"/>
      <c r="G34" s="41" t="s">
        <v>40</v>
      </c>
      <c r="H34" s="42"/>
      <c r="I34" s="43"/>
      <c r="J34" s="41" t="s">
        <v>58</v>
      </c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3"/>
      <c r="AU34" s="15" t="s">
        <v>112</v>
      </c>
    </row>
    <row r="35" spans="1:47" ht="28.5" customHeight="1" x14ac:dyDescent="0.25">
      <c r="A35" s="46"/>
      <c r="B35" s="47"/>
      <c r="C35" s="48"/>
      <c r="D35" s="46"/>
      <c r="E35" s="47"/>
      <c r="F35" s="48"/>
      <c r="G35" s="39" t="str">
        <f>IF(SUM(A35:D35)=0, "", SUM(A35:D35))</f>
        <v/>
      </c>
      <c r="H35" s="39"/>
      <c r="I35" s="39"/>
      <c r="J35" s="41" t="s">
        <v>49</v>
      </c>
      <c r="K35" s="43"/>
      <c r="L35" s="50"/>
      <c r="M35" s="51"/>
      <c r="N35" s="52"/>
      <c r="O35" s="41" t="s">
        <v>59</v>
      </c>
      <c r="P35" s="43"/>
      <c r="Q35" s="46"/>
      <c r="R35" s="48"/>
      <c r="S35" s="41" t="s">
        <v>50</v>
      </c>
      <c r="T35" s="43"/>
      <c r="U35" s="50"/>
      <c r="V35" s="51"/>
      <c r="W35" s="52"/>
      <c r="AU35" s="15" t="s">
        <v>113</v>
      </c>
    </row>
    <row r="36" spans="1:47" ht="28.5" customHeight="1" x14ac:dyDescent="0.25">
      <c r="A36" s="20" t="s">
        <v>277</v>
      </c>
      <c r="AU36" s="15" t="s">
        <v>114</v>
      </c>
    </row>
    <row r="37" spans="1:47" ht="28.5" customHeight="1" x14ac:dyDescent="0.25">
      <c r="A37" s="28" t="s">
        <v>60</v>
      </c>
      <c r="B37" s="28"/>
      <c r="C37" s="28"/>
      <c r="D37" s="28"/>
      <c r="E37" s="28"/>
      <c r="F37" s="28"/>
      <c r="G37" s="28"/>
      <c r="H37" s="28"/>
      <c r="I37" s="28"/>
      <c r="J37" s="41" t="s">
        <v>49</v>
      </c>
      <c r="K37" s="43"/>
      <c r="L37" s="50"/>
      <c r="M37" s="51"/>
      <c r="N37" s="52"/>
      <c r="O37" s="28" t="s">
        <v>50</v>
      </c>
      <c r="P37" s="28"/>
      <c r="Q37" s="50"/>
      <c r="R37" s="51"/>
      <c r="S37" s="52"/>
      <c r="T37" s="11"/>
      <c r="U37" s="11"/>
      <c r="V37" s="11"/>
      <c r="W37" s="11"/>
      <c r="AU37" s="15" t="s">
        <v>115</v>
      </c>
    </row>
    <row r="38" spans="1:47" ht="28.5" customHeight="1" x14ac:dyDescent="0.25">
      <c r="AU38" s="15" t="s">
        <v>116</v>
      </c>
    </row>
    <row r="39" spans="1:47" ht="28.5" customHeight="1" x14ac:dyDescent="0.25">
      <c r="A39" s="41" t="s">
        <v>284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AU39" s="15" t="s">
        <v>117</v>
      </c>
    </row>
    <row r="40" spans="1:47" ht="28.5" customHeight="1" x14ac:dyDescent="0.25">
      <c r="A40" s="49" t="s">
        <v>61</v>
      </c>
      <c r="B40" s="54" t="s">
        <v>26</v>
      </c>
      <c r="C40" s="58"/>
      <c r="D40" s="58"/>
      <c r="E40" s="58"/>
      <c r="F40" s="55"/>
      <c r="G40" s="49" t="s">
        <v>2</v>
      </c>
      <c r="H40" s="54" t="s">
        <v>16</v>
      </c>
      <c r="I40" s="55"/>
      <c r="J40" s="54" t="s">
        <v>27</v>
      </c>
      <c r="K40" s="55"/>
      <c r="L40" s="54" t="s">
        <v>285</v>
      </c>
      <c r="M40" s="58"/>
      <c r="N40" s="55"/>
      <c r="O40" s="42" t="s">
        <v>286</v>
      </c>
      <c r="P40" s="42"/>
      <c r="Q40" s="42"/>
      <c r="R40" s="42"/>
      <c r="S40" s="42"/>
      <c r="T40" s="43"/>
      <c r="U40" s="60" t="s">
        <v>64</v>
      </c>
      <c r="V40" s="61"/>
      <c r="W40" s="62"/>
      <c r="AU40" s="15" t="s">
        <v>118</v>
      </c>
    </row>
    <row r="41" spans="1:47" ht="28.5" customHeight="1" x14ac:dyDescent="0.25">
      <c r="A41" s="53"/>
      <c r="B41" s="56"/>
      <c r="C41" s="59"/>
      <c r="D41" s="59"/>
      <c r="E41" s="59"/>
      <c r="F41" s="57"/>
      <c r="G41" s="53"/>
      <c r="H41" s="56"/>
      <c r="I41" s="57"/>
      <c r="J41" s="56"/>
      <c r="K41" s="57"/>
      <c r="L41" s="56"/>
      <c r="M41" s="59"/>
      <c r="N41" s="57"/>
      <c r="O41" s="42" t="s">
        <v>62</v>
      </c>
      <c r="P41" s="42"/>
      <c r="Q41" s="43"/>
      <c r="R41" s="41" t="s">
        <v>63</v>
      </c>
      <c r="S41" s="42"/>
      <c r="T41" s="43"/>
      <c r="U41" s="63"/>
      <c r="V41" s="64"/>
      <c r="W41" s="65"/>
      <c r="AU41" s="15" t="s">
        <v>119</v>
      </c>
    </row>
    <row r="42" spans="1:47" ht="28.5" customHeight="1" x14ac:dyDescent="0.25">
      <c r="A42" s="21">
        <v>1</v>
      </c>
      <c r="B42" s="46"/>
      <c r="C42" s="47"/>
      <c r="D42" s="47"/>
      <c r="E42" s="47"/>
      <c r="F42" s="48"/>
      <c r="G42" s="4"/>
      <c r="H42" s="39"/>
      <c r="I42" s="39"/>
      <c r="J42" s="46"/>
      <c r="K42" s="48"/>
      <c r="L42" s="46"/>
      <c r="M42" s="47"/>
      <c r="N42" s="48"/>
      <c r="O42" s="44"/>
      <c r="P42" s="44"/>
      <c r="Q42" s="44"/>
      <c r="R42" s="44"/>
      <c r="S42" s="44"/>
      <c r="T42" s="44"/>
      <c r="U42" s="46"/>
      <c r="V42" s="47"/>
      <c r="W42" s="48"/>
      <c r="AU42" s="15" t="s">
        <v>120</v>
      </c>
    </row>
    <row r="43" spans="1:47" ht="28.5" customHeight="1" x14ac:dyDescent="0.25">
      <c r="A43" s="21">
        <v>2</v>
      </c>
      <c r="B43" s="46"/>
      <c r="C43" s="47"/>
      <c r="D43" s="47"/>
      <c r="E43" s="47"/>
      <c r="F43" s="48"/>
      <c r="G43" s="4"/>
      <c r="H43" s="39"/>
      <c r="I43" s="39"/>
      <c r="J43" s="46"/>
      <c r="K43" s="48"/>
      <c r="L43" s="46"/>
      <c r="M43" s="47"/>
      <c r="N43" s="48"/>
      <c r="O43" s="44"/>
      <c r="P43" s="44"/>
      <c r="Q43" s="44"/>
      <c r="R43" s="44"/>
      <c r="S43" s="44"/>
      <c r="T43" s="44"/>
      <c r="U43" s="46"/>
      <c r="V43" s="47"/>
      <c r="W43" s="48"/>
      <c r="AU43" s="15" t="s">
        <v>121</v>
      </c>
    </row>
    <row r="44" spans="1:47" ht="28.5" customHeight="1" x14ac:dyDescent="0.25">
      <c r="A44" s="21">
        <v>3</v>
      </c>
      <c r="B44" s="46"/>
      <c r="C44" s="47"/>
      <c r="D44" s="47"/>
      <c r="E44" s="47"/>
      <c r="F44" s="48"/>
      <c r="G44" s="4"/>
      <c r="H44" s="39"/>
      <c r="I44" s="39"/>
      <c r="J44" s="46"/>
      <c r="K44" s="48"/>
      <c r="L44" s="46"/>
      <c r="M44" s="47"/>
      <c r="N44" s="48"/>
      <c r="O44" s="44"/>
      <c r="P44" s="44"/>
      <c r="Q44" s="44"/>
      <c r="R44" s="44"/>
      <c r="S44" s="44"/>
      <c r="T44" s="44"/>
      <c r="U44" s="46"/>
      <c r="V44" s="47"/>
      <c r="W44" s="48"/>
      <c r="AU44" s="15" t="s">
        <v>122</v>
      </c>
    </row>
    <row r="45" spans="1:47" ht="28.5" customHeight="1" x14ac:dyDescent="0.25">
      <c r="A45" s="21">
        <v>4</v>
      </c>
      <c r="B45" s="46"/>
      <c r="C45" s="47"/>
      <c r="D45" s="47"/>
      <c r="E45" s="47"/>
      <c r="F45" s="48"/>
      <c r="G45" s="4"/>
      <c r="H45" s="39"/>
      <c r="I45" s="39"/>
      <c r="J45" s="46"/>
      <c r="K45" s="48"/>
      <c r="L45" s="46"/>
      <c r="M45" s="47"/>
      <c r="N45" s="48"/>
      <c r="O45" s="44"/>
      <c r="P45" s="44"/>
      <c r="Q45" s="44"/>
      <c r="R45" s="44"/>
      <c r="S45" s="44"/>
      <c r="T45" s="44"/>
      <c r="U45" s="46"/>
      <c r="V45" s="47"/>
      <c r="W45" s="48"/>
      <c r="AU45" s="15" t="s">
        <v>123</v>
      </c>
    </row>
    <row r="46" spans="1:47" ht="28.5" customHeight="1" x14ac:dyDescent="0.25">
      <c r="A46" s="21">
        <v>5</v>
      </c>
      <c r="B46" s="46"/>
      <c r="C46" s="47"/>
      <c r="D46" s="47"/>
      <c r="E46" s="47"/>
      <c r="F46" s="48"/>
      <c r="G46" s="4"/>
      <c r="H46" s="39"/>
      <c r="I46" s="39"/>
      <c r="J46" s="46"/>
      <c r="K46" s="48"/>
      <c r="L46" s="46"/>
      <c r="M46" s="47"/>
      <c r="N46" s="48"/>
      <c r="O46" s="44"/>
      <c r="P46" s="44"/>
      <c r="Q46" s="44"/>
      <c r="R46" s="44"/>
      <c r="S46" s="44"/>
      <c r="T46" s="44"/>
      <c r="U46" s="46"/>
      <c r="V46" s="47"/>
      <c r="W46" s="48"/>
      <c r="AU46" s="15" t="s">
        <v>124</v>
      </c>
    </row>
    <row r="47" spans="1:47" ht="28.5" customHeight="1" x14ac:dyDescent="0.25">
      <c r="AU47" s="15" t="s">
        <v>125</v>
      </c>
    </row>
    <row r="48" spans="1:47" ht="28.5" customHeight="1" x14ac:dyDescent="0.25">
      <c r="A48" s="41" t="s">
        <v>65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3"/>
      <c r="AU48" s="15" t="s">
        <v>126</v>
      </c>
    </row>
    <row r="49" spans="1:47" ht="28.5" customHeight="1" x14ac:dyDescent="0.25">
      <c r="A49" s="28" t="s">
        <v>68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66" t="s">
        <v>69</v>
      </c>
      <c r="Q49" s="71"/>
      <c r="R49" s="71"/>
      <c r="S49" s="71"/>
      <c r="T49" s="71"/>
      <c r="U49" s="71"/>
      <c r="V49" s="71"/>
      <c r="W49" s="72"/>
      <c r="AU49" s="15" t="s">
        <v>127</v>
      </c>
    </row>
    <row r="50" spans="1:47" ht="28.5" customHeight="1" x14ac:dyDescent="0.25">
      <c r="A50" s="21" t="s">
        <v>61</v>
      </c>
      <c r="B50" s="28" t="s">
        <v>1</v>
      </c>
      <c r="C50" s="28"/>
      <c r="D50" s="28"/>
      <c r="E50" s="28"/>
      <c r="F50" s="28"/>
      <c r="G50" s="28"/>
      <c r="H50" s="28"/>
      <c r="I50" s="28"/>
      <c r="J50" s="28"/>
      <c r="K50" s="28" t="s">
        <v>27</v>
      </c>
      <c r="L50" s="28"/>
      <c r="M50" s="28"/>
      <c r="N50" s="28"/>
      <c r="O50" s="28"/>
      <c r="P50" s="66" t="s">
        <v>66</v>
      </c>
      <c r="Q50" s="71"/>
      <c r="R50" s="71"/>
      <c r="S50" s="71"/>
      <c r="T50" s="71" t="s">
        <v>67</v>
      </c>
      <c r="U50" s="71"/>
      <c r="V50" s="71"/>
      <c r="W50" s="72"/>
      <c r="AU50" s="15" t="s">
        <v>128</v>
      </c>
    </row>
    <row r="51" spans="1:47" ht="28.5" customHeight="1" x14ac:dyDescent="0.25">
      <c r="A51" s="21">
        <v>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67"/>
      <c r="Q51" s="73"/>
      <c r="R51" s="73"/>
      <c r="S51" s="73"/>
      <c r="T51" s="73"/>
      <c r="U51" s="73"/>
      <c r="V51" s="73"/>
      <c r="W51" s="74"/>
      <c r="AU51" s="15" t="s">
        <v>129</v>
      </c>
    </row>
    <row r="52" spans="1:47" ht="28.5" customHeight="1" x14ac:dyDescent="0.25">
      <c r="A52" s="21">
        <v>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67"/>
      <c r="Q52" s="73"/>
      <c r="R52" s="73"/>
      <c r="S52" s="73"/>
      <c r="T52" s="73"/>
      <c r="U52" s="73"/>
      <c r="V52" s="73"/>
      <c r="W52" s="74"/>
      <c r="AU52" s="15" t="s">
        <v>130</v>
      </c>
    </row>
    <row r="53" spans="1:47" ht="28.5" customHeight="1" x14ac:dyDescent="0.25">
      <c r="A53" s="21">
        <v>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67"/>
      <c r="Q53" s="73"/>
      <c r="R53" s="73"/>
      <c r="S53" s="73"/>
      <c r="T53" s="73"/>
      <c r="U53" s="73"/>
      <c r="V53" s="73"/>
      <c r="W53" s="74"/>
      <c r="AU53" s="15" t="s">
        <v>131</v>
      </c>
    </row>
    <row r="54" spans="1:47" ht="28.5" customHeight="1" x14ac:dyDescent="0.25">
      <c r="A54" s="21">
        <v>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67"/>
      <c r="Q54" s="73"/>
      <c r="R54" s="73"/>
      <c r="S54" s="73"/>
      <c r="T54" s="73"/>
      <c r="U54" s="73"/>
      <c r="V54" s="73"/>
      <c r="W54" s="74"/>
      <c r="AU54" s="15" t="s">
        <v>132</v>
      </c>
    </row>
    <row r="55" spans="1:47" ht="28.5" customHeight="1" x14ac:dyDescent="0.25">
      <c r="A55" s="21">
        <v>5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67"/>
      <c r="Q55" s="73"/>
      <c r="R55" s="73"/>
      <c r="S55" s="73"/>
      <c r="T55" s="73"/>
      <c r="U55" s="73"/>
      <c r="V55" s="73"/>
      <c r="W55" s="74"/>
      <c r="AU55" s="15" t="s">
        <v>133</v>
      </c>
    </row>
    <row r="56" spans="1:47" ht="28.5" customHeight="1" x14ac:dyDescent="0.25">
      <c r="AU56" s="15" t="s">
        <v>134</v>
      </c>
    </row>
    <row r="57" spans="1:47" ht="28.5" customHeight="1" x14ac:dyDescent="0.25">
      <c r="A57" s="18" t="s">
        <v>77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12"/>
      <c r="AU57" s="15" t="s">
        <v>135</v>
      </c>
    </row>
    <row r="58" spans="1:47" ht="28.5" customHeight="1" x14ac:dyDescent="0.25">
      <c r="A58" s="16"/>
      <c r="W58" s="17"/>
      <c r="AU58" s="15" t="s">
        <v>136</v>
      </c>
    </row>
    <row r="59" spans="1:47" ht="28.5" customHeight="1" x14ac:dyDescent="0.25">
      <c r="A59" s="16"/>
      <c r="W59" s="17"/>
      <c r="AU59" s="15" t="s">
        <v>137</v>
      </c>
    </row>
    <row r="60" spans="1:47" ht="28.5" customHeight="1" x14ac:dyDescent="0.25">
      <c r="A60" s="5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6"/>
      <c r="AU60" s="15" t="s">
        <v>138</v>
      </c>
    </row>
    <row r="61" spans="1:47" ht="28.5" customHeight="1" x14ac:dyDescent="0.25">
      <c r="N61" s="1" t="s">
        <v>78</v>
      </c>
      <c r="AU61" s="15" t="s">
        <v>139</v>
      </c>
    </row>
    <row r="62" spans="1:47" ht="28.5" customHeight="1" x14ac:dyDescent="0.25">
      <c r="AU62" s="15" t="s">
        <v>140</v>
      </c>
    </row>
    <row r="63" spans="1:47" ht="28.5" customHeight="1" x14ac:dyDescent="0.25">
      <c r="AU63" s="15" t="s">
        <v>141</v>
      </c>
    </row>
    <row r="64" spans="1:47" ht="28.5" customHeight="1" x14ac:dyDescent="0.25">
      <c r="AU64" s="15" t="s">
        <v>142</v>
      </c>
    </row>
    <row r="65" spans="47:47" ht="28.5" customHeight="1" x14ac:dyDescent="0.25">
      <c r="AU65" s="15" t="s">
        <v>143</v>
      </c>
    </row>
    <row r="66" spans="47:47" ht="28.5" customHeight="1" x14ac:dyDescent="0.25">
      <c r="AU66" s="15" t="s">
        <v>144</v>
      </c>
    </row>
    <row r="67" spans="47:47" ht="28.5" customHeight="1" x14ac:dyDescent="0.25">
      <c r="AU67" s="15" t="s">
        <v>145</v>
      </c>
    </row>
    <row r="68" spans="47:47" ht="28.5" customHeight="1" x14ac:dyDescent="0.25">
      <c r="AU68" s="15" t="s">
        <v>146</v>
      </c>
    </row>
    <row r="69" spans="47:47" ht="28.5" customHeight="1" x14ac:dyDescent="0.25">
      <c r="AU69" s="15" t="s">
        <v>147</v>
      </c>
    </row>
    <row r="70" spans="47:47" ht="28.5" customHeight="1" x14ac:dyDescent="0.25">
      <c r="AU70" s="15" t="s">
        <v>148</v>
      </c>
    </row>
    <row r="71" spans="47:47" ht="28.5" customHeight="1" x14ac:dyDescent="0.25">
      <c r="AU71" s="15" t="s">
        <v>149</v>
      </c>
    </row>
    <row r="72" spans="47:47" ht="28.5" customHeight="1" x14ac:dyDescent="0.25">
      <c r="AU72" s="15" t="s">
        <v>150</v>
      </c>
    </row>
    <row r="73" spans="47:47" ht="28.5" customHeight="1" x14ac:dyDescent="0.25">
      <c r="AU73" s="15" t="s">
        <v>151</v>
      </c>
    </row>
    <row r="74" spans="47:47" ht="28.5" customHeight="1" x14ac:dyDescent="0.25">
      <c r="AU74" s="15" t="s">
        <v>152</v>
      </c>
    </row>
    <row r="75" spans="47:47" ht="28.5" customHeight="1" x14ac:dyDescent="0.25">
      <c r="AU75" s="15" t="s">
        <v>153</v>
      </c>
    </row>
    <row r="76" spans="47:47" ht="28.5" customHeight="1" x14ac:dyDescent="0.25">
      <c r="AU76" s="15" t="s">
        <v>154</v>
      </c>
    </row>
    <row r="77" spans="47:47" ht="28.5" customHeight="1" x14ac:dyDescent="0.25">
      <c r="AU77" s="15" t="s">
        <v>155</v>
      </c>
    </row>
    <row r="78" spans="47:47" ht="28.5" customHeight="1" x14ac:dyDescent="0.25">
      <c r="AU78" s="15" t="s">
        <v>156</v>
      </c>
    </row>
    <row r="79" spans="47:47" ht="28.5" customHeight="1" x14ac:dyDescent="0.25">
      <c r="AU79" s="15" t="s">
        <v>157</v>
      </c>
    </row>
    <row r="80" spans="47:47" ht="28.5" customHeight="1" x14ac:dyDescent="0.25">
      <c r="AU80" s="15" t="s">
        <v>158</v>
      </c>
    </row>
    <row r="81" spans="47:47" ht="28.5" customHeight="1" x14ac:dyDescent="0.25">
      <c r="AU81" s="15" t="s">
        <v>159</v>
      </c>
    </row>
    <row r="82" spans="47:47" ht="28.5" customHeight="1" x14ac:dyDescent="0.25">
      <c r="AU82" s="15" t="s">
        <v>160</v>
      </c>
    </row>
    <row r="83" spans="47:47" ht="28.5" customHeight="1" x14ac:dyDescent="0.25">
      <c r="AU83" s="15" t="s">
        <v>161</v>
      </c>
    </row>
    <row r="84" spans="47:47" ht="28.5" customHeight="1" x14ac:dyDescent="0.25">
      <c r="AU84" s="15" t="s">
        <v>162</v>
      </c>
    </row>
    <row r="85" spans="47:47" ht="28.5" customHeight="1" x14ac:dyDescent="0.25">
      <c r="AU85" s="15" t="s">
        <v>163</v>
      </c>
    </row>
    <row r="86" spans="47:47" ht="28.5" customHeight="1" x14ac:dyDescent="0.25">
      <c r="AU86" s="15" t="s">
        <v>164</v>
      </c>
    </row>
    <row r="87" spans="47:47" ht="28.5" customHeight="1" x14ac:dyDescent="0.25">
      <c r="AU87" s="15" t="s">
        <v>165</v>
      </c>
    </row>
    <row r="88" spans="47:47" ht="28.5" customHeight="1" x14ac:dyDescent="0.25">
      <c r="AU88" s="15" t="s">
        <v>166</v>
      </c>
    </row>
    <row r="89" spans="47:47" ht="28.5" customHeight="1" x14ac:dyDescent="0.25">
      <c r="AU89" s="15" t="s">
        <v>167</v>
      </c>
    </row>
    <row r="90" spans="47:47" ht="28.5" customHeight="1" x14ac:dyDescent="0.25">
      <c r="AU90" s="15" t="s">
        <v>168</v>
      </c>
    </row>
    <row r="91" spans="47:47" ht="28.5" customHeight="1" x14ac:dyDescent="0.25">
      <c r="AU91" s="15" t="s">
        <v>169</v>
      </c>
    </row>
    <row r="92" spans="47:47" ht="28.5" customHeight="1" x14ac:dyDescent="0.25">
      <c r="AU92" s="15" t="s">
        <v>170</v>
      </c>
    </row>
    <row r="93" spans="47:47" ht="28.5" customHeight="1" x14ac:dyDescent="0.25">
      <c r="AU93" s="15" t="s">
        <v>171</v>
      </c>
    </row>
    <row r="94" spans="47:47" ht="28.5" customHeight="1" x14ac:dyDescent="0.25">
      <c r="AU94" s="15" t="s">
        <v>172</v>
      </c>
    </row>
    <row r="95" spans="47:47" ht="28.5" customHeight="1" x14ac:dyDescent="0.25">
      <c r="AU95" s="15" t="s">
        <v>173</v>
      </c>
    </row>
    <row r="96" spans="47:47" ht="28.5" customHeight="1" x14ac:dyDescent="0.25">
      <c r="AU96" s="15" t="s">
        <v>174</v>
      </c>
    </row>
    <row r="97" spans="47:47" ht="28.5" customHeight="1" x14ac:dyDescent="0.25">
      <c r="AU97" s="15" t="s">
        <v>175</v>
      </c>
    </row>
    <row r="98" spans="47:47" ht="28.5" customHeight="1" x14ac:dyDescent="0.25">
      <c r="AU98" s="15" t="s">
        <v>176</v>
      </c>
    </row>
    <row r="99" spans="47:47" ht="28.5" customHeight="1" x14ac:dyDescent="0.25">
      <c r="AU99" s="15" t="s">
        <v>177</v>
      </c>
    </row>
    <row r="100" spans="47:47" ht="28.5" customHeight="1" x14ac:dyDescent="0.25">
      <c r="AU100" s="15" t="s">
        <v>178</v>
      </c>
    </row>
    <row r="101" spans="47:47" ht="28.5" customHeight="1" x14ac:dyDescent="0.25">
      <c r="AU101" s="15" t="s">
        <v>179</v>
      </c>
    </row>
    <row r="102" spans="47:47" ht="28.5" customHeight="1" x14ac:dyDescent="0.25">
      <c r="AU102" s="15" t="s">
        <v>180</v>
      </c>
    </row>
    <row r="103" spans="47:47" ht="28.5" customHeight="1" x14ac:dyDescent="0.25">
      <c r="AU103" s="15" t="s">
        <v>181</v>
      </c>
    </row>
    <row r="104" spans="47:47" ht="28.5" customHeight="1" x14ac:dyDescent="0.25">
      <c r="AU104" s="15" t="s">
        <v>182</v>
      </c>
    </row>
    <row r="105" spans="47:47" ht="28.5" customHeight="1" x14ac:dyDescent="0.25">
      <c r="AU105" s="15" t="s">
        <v>183</v>
      </c>
    </row>
    <row r="106" spans="47:47" ht="28.5" customHeight="1" x14ac:dyDescent="0.25">
      <c r="AU106" s="15" t="s">
        <v>184</v>
      </c>
    </row>
    <row r="107" spans="47:47" ht="28.5" customHeight="1" x14ac:dyDescent="0.25">
      <c r="AU107" s="15" t="s">
        <v>185</v>
      </c>
    </row>
    <row r="108" spans="47:47" ht="28.5" customHeight="1" x14ac:dyDescent="0.25">
      <c r="AU108" s="15" t="s">
        <v>186</v>
      </c>
    </row>
    <row r="109" spans="47:47" ht="28.5" customHeight="1" x14ac:dyDescent="0.25">
      <c r="AU109" s="15" t="s">
        <v>187</v>
      </c>
    </row>
    <row r="110" spans="47:47" ht="28.5" customHeight="1" x14ac:dyDescent="0.25">
      <c r="AU110" s="15" t="s">
        <v>188</v>
      </c>
    </row>
    <row r="111" spans="47:47" ht="28.5" customHeight="1" x14ac:dyDescent="0.25">
      <c r="AU111" s="15" t="s">
        <v>189</v>
      </c>
    </row>
    <row r="112" spans="47:47" ht="28.5" customHeight="1" x14ac:dyDescent="0.25">
      <c r="AU112" s="15" t="s">
        <v>190</v>
      </c>
    </row>
    <row r="113" spans="47:47" ht="28.5" customHeight="1" x14ac:dyDescent="0.25">
      <c r="AU113" s="15" t="s">
        <v>191</v>
      </c>
    </row>
    <row r="114" spans="47:47" ht="28.5" customHeight="1" x14ac:dyDescent="0.25">
      <c r="AU114" s="15" t="s">
        <v>192</v>
      </c>
    </row>
    <row r="115" spans="47:47" ht="28.5" customHeight="1" x14ac:dyDescent="0.25">
      <c r="AU115" s="15" t="s">
        <v>193</v>
      </c>
    </row>
    <row r="116" spans="47:47" ht="28.5" customHeight="1" x14ac:dyDescent="0.25">
      <c r="AU116" s="15" t="s">
        <v>194</v>
      </c>
    </row>
    <row r="117" spans="47:47" ht="28.5" customHeight="1" x14ac:dyDescent="0.25">
      <c r="AU117" s="15" t="s">
        <v>195</v>
      </c>
    </row>
    <row r="118" spans="47:47" ht="28.5" customHeight="1" x14ac:dyDescent="0.25">
      <c r="AU118" s="15" t="s">
        <v>196</v>
      </c>
    </row>
    <row r="119" spans="47:47" ht="28.5" customHeight="1" x14ac:dyDescent="0.25">
      <c r="AU119" s="15" t="s">
        <v>197</v>
      </c>
    </row>
    <row r="120" spans="47:47" ht="28.5" customHeight="1" x14ac:dyDescent="0.25">
      <c r="AU120" s="15" t="s">
        <v>198</v>
      </c>
    </row>
    <row r="121" spans="47:47" ht="28.5" customHeight="1" x14ac:dyDescent="0.25">
      <c r="AU121" s="15" t="s">
        <v>199</v>
      </c>
    </row>
    <row r="122" spans="47:47" ht="28.5" customHeight="1" x14ac:dyDescent="0.25">
      <c r="AU122" s="15" t="s">
        <v>200</v>
      </c>
    </row>
    <row r="123" spans="47:47" ht="28.5" customHeight="1" x14ac:dyDescent="0.25">
      <c r="AU123" s="15" t="s">
        <v>201</v>
      </c>
    </row>
    <row r="124" spans="47:47" ht="28.5" customHeight="1" x14ac:dyDescent="0.25">
      <c r="AU124" s="15" t="s">
        <v>202</v>
      </c>
    </row>
    <row r="125" spans="47:47" ht="28.5" customHeight="1" x14ac:dyDescent="0.25">
      <c r="AU125" s="15" t="s">
        <v>203</v>
      </c>
    </row>
    <row r="126" spans="47:47" ht="28.5" customHeight="1" x14ac:dyDescent="0.25">
      <c r="AU126" s="15" t="s">
        <v>204</v>
      </c>
    </row>
    <row r="127" spans="47:47" ht="28.5" customHeight="1" x14ac:dyDescent="0.25">
      <c r="AU127" s="15" t="s">
        <v>205</v>
      </c>
    </row>
    <row r="128" spans="47:47" ht="28.5" customHeight="1" x14ac:dyDescent="0.25">
      <c r="AU128" s="15" t="s">
        <v>206</v>
      </c>
    </row>
    <row r="129" spans="47:47" ht="28.5" customHeight="1" x14ac:dyDescent="0.25">
      <c r="AU129" s="15" t="s">
        <v>207</v>
      </c>
    </row>
    <row r="130" spans="47:47" ht="28.5" customHeight="1" x14ac:dyDescent="0.25">
      <c r="AU130" s="15" t="s">
        <v>208</v>
      </c>
    </row>
    <row r="131" spans="47:47" ht="28.5" customHeight="1" x14ac:dyDescent="0.25">
      <c r="AU131" s="15" t="s">
        <v>209</v>
      </c>
    </row>
    <row r="132" spans="47:47" ht="28.5" customHeight="1" x14ac:dyDescent="0.25">
      <c r="AU132" s="15" t="s">
        <v>210</v>
      </c>
    </row>
    <row r="133" spans="47:47" ht="28.5" customHeight="1" x14ac:dyDescent="0.25">
      <c r="AU133" s="15" t="s">
        <v>211</v>
      </c>
    </row>
    <row r="134" spans="47:47" ht="28.5" customHeight="1" x14ac:dyDescent="0.25">
      <c r="AU134" s="15" t="s">
        <v>212</v>
      </c>
    </row>
    <row r="135" spans="47:47" ht="28.5" customHeight="1" x14ac:dyDescent="0.25">
      <c r="AU135" s="15" t="s">
        <v>213</v>
      </c>
    </row>
    <row r="136" spans="47:47" ht="28.5" customHeight="1" x14ac:dyDescent="0.25">
      <c r="AU136" s="15" t="s">
        <v>214</v>
      </c>
    </row>
    <row r="137" spans="47:47" ht="28.5" customHeight="1" x14ac:dyDescent="0.25">
      <c r="AU137" s="15" t="s">
        <v>215</v>
      </c>
    </row>
    <row r="138" spans="47:47" ht="28.5" customHeight="1" x14ac:dyDescent="0.25">
      <c r="AU138" s="15" t="s">
        <v>216</v>
      </c>
    </row>
    <row r="139" spans="47:47" ht="28.5" customHeight="1" x14ac:dyDescent="0.25">
      <c r="AU139" s="15" t="s">
        <v>217</v>
      </c>
    </row>
    <row r="140" spans="47:47" ht="28.5" customHeight="1" x14ac:dyDescent="0.25">
      <c r="AU140" s="15" t="s">
        <v>218</v>
      </c>
    </row>
    <row r="141" spans="47:47" ht="28.5" customHeight="1" x14ac:dyDescent="0.25">
      <c r="AU141" s="15" t="s">
        <v>219</v>
      </c>
    </row>
    <row r="142" spans="47:47" ht="28.5" customHeight="1" x14ac:dyDescent="0.25">
      <c r="AU142" s="15" t="s">
        <v>220</v>
      </c>
    </row>
    <row r="143" spans="47:47" ht="28.5" customHeight="1" x14ac:dyDescent="0.25">
      <c r="AU143" s="15" t="s">
        <v>221</v>
      </c>
    </row>
    <row r="144" spans="47:47" ht="28.5" customHeight="1" x14ac:dyDescent="0.25">
      <c r="AU144" s="15" t="s">
        <v>222</v>
      </c>
    </row>
    <row r="145" spans="47:47" ht="28.5" customHeight="1" x14ac:dyDescent="0.25">
      <c r="AU145" s="15" t="s">
        <v>223</v>
      </c>
    </row>
    <row r="146" spans="47:47" ht="28.5" customHeight="1" x14ac:dyDescent="0.25">
      <c r="AU146" s="15" t="s">
        <v>224</v>
      </c>
    </row>
    <row r="147" spans="47:47" ht="28.5" customHeight="1" x14ac:dyDescent="0.25">
      <c r="AU147" s="15" t="s">
        <v>225</v>
      </c>
    </row>
    <row r="148" spans="47:47" ht="28.5" customHeight="1" x14ac:dyDescent="0.25">
      <c r="AU148" s="15" t="s">
        <v>226</v>
      </c>
    </row>
    <row r="149" spans="47:47" ht="28.5" customHeight="1" x14ac:dyDescent="0.25">
      <c r="AU149" s="15" t="s">
        <v>227</v>
      </c>
    </row>
    <row r="150" spans="47:47" ht="28.5" customHeight="1" x14ac:dyDescent="0.25">
      <c r="AU150" s="15" t="s">
        <v>228</v>
      </c>
    </row>
    <row r="151" spans="47:47" ht="28.5" customHeight="1" x14ac:dyDescent="0.25">
      <c r="AU151" s="15" t="s">
        <v>229</v>
      </c>
    </row>
    <row r="152" spans="47:47" ht="28.5" customHeight="1" x14ac:dyDescent="0.25">
      <c r="AU152" s="15" t="s">
        <v>230</v>
      </c>
    </row>
    <row r="153" spans="47:47" ht="28.5" customHeight="1" x14ac:dyDescent="0.25">
      <c r="AU153" s="15" t="s">
        <v>231</v>
      </c>
    </row>
    <row r="154" spans="47:47" ht="28.5" customHeight="1" x14ac:dyDescent="0.25">
      <c r="AU154" s="15" t="s">
        <v>232</v>
      </c>
    </row>
    <row r="155" spans="47:47" ht="28.5" customHeight="1" x14ac:dyDescent="0.25">
      <c r="AU155" s="15" t="s">
        <v>233</v>
      </c>
    </row>
    <row r="156" spans="47:47" ht="28.5" customHeight="1" x14ac:dyDescent="0.25">
      <c r="AU156" s="15" t="s">
        <v>234</v>
      </c>
    </row>
    <row r="157" spans="47:47" ht="28.5" customHeight="1" x14ac:dyDescent="0.25">
      <c r="AU157" s="15" t="s">
        <v>235</v>
      </c>
    </row>
    <row r="158" spans="47:47" ht="28.5" customHeight="1" x14ac:dyDescent="0.25">
      <c r="AU158" s="15" t="s">
        <v>236</v>
      </c>
    </row>
    <row r="159" spans="47:47" ht="28.5" customHeight="1" x14ac:dyDescent="0.25">
      <c r="AU159" s="15" t="s">
        <v>237</v>
      </c>
    </row>
    <row r="160" spans="47:47" ht="28.5" customHeight="1" x14ac:dyDescent="0.25">
      <c r="AU160" s="15" t="s">
        <v>238</v>
      </c>
    </row>
    <row r="161" spans="47:47" ht="28.5" customHeight="1" x14ac:dyDescent="0.25">
      <c r="AU161" s="15" t="s">
        <v>239</v>
      </c>
    </row>
    <row r="162" spans="47:47" ht="28.5" customHeight="1" x14ac:dyDescent="0.25">
      <c r="AU162" s="15" t="s">
        <v>240</v>
      </c>
    </row>
    <row r="163" spans="47:47" ht="28.5" customHeight="1" x14ac:dyDescent="0.25">
      <c r="AU163" s="15" t="s">
        <v>241</v>
      </c>
    </row>
    <row r="164" spans="47:47" ht="28.5" customHeight="1" x14ac:dyDescent="0.25">
      <c r="AU164" s="15" t="s">
        <v>242</v>
      </c>
    </row>
    <row r="165" spans="47:47" ht="28.5" customHeight="1" x14ac:dyDescent="0.25">
      <c r="AU165" s="15" t="s">
        <v>243</v>
      </c>
    </row>
    <row r="166" spans="47:47" ht="28.5" customHeight="1" x14ac:dyDescent="0.25">
      <c r="AU166" s="15" t="s">
        <v>244</v>
      </c>
    </row>
    <row r="167" spans="47:47" ht="28.5" customHeight="1" x14ac:dyDescent="0.25">
      <c r="AU167" s="15" t="s">
        <v>245</v>
      </c>
    </row>
    <row r="168" spans="47:47" ht="28.5" customHeight="1" x14ac:dyDescent="0.25">
      <c r="AU168" s="15" t="s">
        <v>246</v>
      </c>
    </row>
    <row r="169" spans="47:47" ht="28.5" customHeight="1" x14ac:dyDescent="0.25">
      <c r="AU169" s="15" t="s">
        <v>247</v>
      </c>
    </row>
    <row r="170" spans="47:47" ht="28.5" customHeight="1" x14ac:dyDescent="0.25">
      <c r="AU170" s="15" t="s">
        <v>248</v>
      </c>
    </row>
    <row r="171" spans="47:47" ht="28.5" customHeight="1" x14ac:dyDescent="0.25">
      <c r="AU171" s="15" t="s">
        <v>249</v>
      </c>
    </row>
    <row r="172" spans="47:47" ht="28.5" customHeight="1" x14ac:dyDescent="0.25">
      <c r="AU172" s="15" t="s">
        <v>250</v>
      </c>
    </row>
    <row r="173" spans="47:47" ht="28.5" customHeight="1" x14ac:dyDescent="0.25">
      <c r="AU173" s="15" t="s">
        <v>251</v>
      </c>
    </row>
    <row r="174" spans="47:47" ht="28.5" customHeight="1" x14ac:dyDescent="0.25">
      <c r="AU174" s="15" t="s">
        <v>252</v>
      </c>
    </row>
    <row r="175" spans="47:47" ht="28.5" customHeight="1" x14ac:dyDescent="0.25">
      <c r="AU175" s="15" t="s">
        <v>253</v>
      </c>
    </row>
    <row r="176" spans="47:47" ht="28.5" customHeight="1" x14ac:dyDescent="0.25">
      <c r="AU176" s="15" t="s">
        <v>254</v>
      </c>
    </row>
    <row r="177" spans="47:47" ht="28.5" customHeight="1" x14ac:dyDescent="0.25">
      <c r="AU177" s="15" t="s">
        <v>255</v>
      </c>
    </row>
    <row r="178" spans="47:47" ht="28.5" customHeight="1" x14ac:dyDescent="0.25">
      <c r="AU178" s="15" t="s">
        <v>256</v>
      </c>
    </row>
    <row r="179" spans="47:47" ht="28.5" customHeight="1" x14ac:dyDescent="0.25">
      <c r="AU179" s="15" t="s">
        <v>257</v>
      </c>
    </row>
    <row r="180" spans="47:47" ht="28.5" customHeight="1" x14ac:dyDescent="0.25">
      <c r="AU180" s="15" t="s">
        <v>258</v>
      </c>
    </row>
    <row r="181" spans="47:47" ht="28.5" customHeight="1" x14ac:dyDescent="0.25">
      <c r="AU181" s="15" t="s">
        <v>259</v>
      </c>
    </row>
    <row r="182" spans="47:47" ht="28.5" customHeight="1" x14ac:dyDescent="0.25">
      <c r="AU182" s="15" t="s">
        <v>260</v>
      </c>
    </row>
    <row r="183" spans="47:47" ht="28.5" customHeight="1" x14ac:dyDescent="0.25">
      <c r="AU183" s="15" t="s">
        <v>261</v>
      </c>
    </row>
    <row r="184" spans="47:47" ht="28.5" customHeight="1" x14ac:dyDescent="0.25">
      <c r="AU184" s="15" t="s">
        <v>262</v>
      </c>
    </row>
    <row r="185" spans="47:47" ht="28.5" customHeight="1" x14ac:dyDescent="0.25">
      <c r="AU185" s="15" t="s">
        <v>263</v>
      </c>
    </row>
    <row r="186" spans="47:47" ht="28.5" customHeight="1" x14ac:dyDescent="0.25">
      <c r="AU186" s="15" t="s">
        <v>264</v>
      </c>
    </row>
    <row r="187" spans="47:47" ht="28.5" customHeight="1" x14ac:dyDescent="0.25">
      <c r="AU187" s="15" t="s">
        <v>265</v>
      </c>
    </row>
    <row r="188" spans="47:47" ht="28.5" customHeight="1" x14ac:dyDescent="0.25">
      <c r="AU188" s="15" t="s">
        <v>266</v>
      </c>
    </row>
    <row r="189" spans="47:47" ht="28.5" customHeight="1" x14ac:dyDescent="0.25">
      <c r="AU189" s="15" t="s">
        <v>267</v>
      </c>
    </row>
    <row r="190" spans="47:47" ht="28.5" customHeight="1" x14ac:dyDescent="0.25">
      <c r="AU190" s="15" t="s">
        <v>268</v>
      </c>
    </row>
    <row r="191" spans="47:47" ht="28.5" customHeight="1" x14ac:dyDescent="0.25">
      <c r="AU191" s="15" t="s">
        <v>269</v>
      </c>
    </row>
    <row r="192" spans="47:47" ht="28.5" customHeight="1" x14ac:dyDescent="0.25">
      <c r="AU192" s="15" t="s">
        <v>270</v>
      </c>
    </row>
    <row r="193" spans="47:47" ht="28.5" customHeight="1" x14ac:dyDescent="0.25">
      <c r="AU193" s="15" t="s">
        <v>271</v>
      </c>
    </row>
    <row r="194" spans="47:47" ht="28.5" customHeight="1" x14ac:dyDescent="0.25">
      <c r="AU194" s="15" t="s">
        <v>272</v>
      </c>
    </row>
    <row r="195" spans="47:47" ht="28.5" customHeight="1" x14ac:dyDescent="0.25">
      <c r="AU195" s="15" t="s">
        <v>273</v>
      </c>
    </row>
  </sheetData>
  <mergeCells count="230">
    <mergeCell ref="P55:S55"/>
    <mergeCell ref="T55:W55"/>
    <mergeCell ref="P54:S54"/>
    <mergeCell ref="T54:W54"/>
    <mergeCell ref="B54:J54"/>
    <mergeCell ref="B55:J55"/>
    <mergeCell ref="K54:O54"/>
    <mergeCell ref="K55:O55"/>
    <mergeCell ref="P53:S53"/>
    <mergeCell ref="T53:W53"/>
    <mergeCell ref="P51:S51"/>
    <mergeCell ref="T51:W51"/>
    <mergeCell ref="P52:S52"/>
    <mergeCell ref="T52:W52"/>
    <mergeCell ref="B51:J51"/>
    <mergeCell ref="B52:J52"/>
    <mergeCell ref="B53:J53"/>
    <mergeCell ref="K51:O51"/>
    <mergeCell ref="K52:O52"/>
    <mergeCell ref="K53:O53"/>
    <mergeCell ref="A48:W48"/>
    <mergeCell ref="P50:S50"/>
    <mergeCell ref="T50:W50"/>
    <mergeCell ref="K50:O50"/>
    <mergeCell ref="P49:W49"/>
    <mergeCell ref="A49:O49"/>
    <mergeCell ref="B50:J50"/>
    <mergeCell ref="R45:T45"/>
    <mergeCell ref="U45:W45"/>
    <mergeCell ref="B46:F46"/>
    <mergeCell ref="H46:I46"/>
    <mergeCell ref="J46:K46"/>
    <mergeCell ref="L46:N46"/>
    <mergeCell ref="O46:Q46"/>
    <mergeCell ref="R46:T46"/>
    <mergeCell ref="U46:W46"/>
    <mergeCell ref="B45:F45"/>
    <mergeCell ref="H45:I45"/>
    <mergeCell ref="J45:K45"/>
    <mergeCell ref="L45:N45"/>
    <mergeCell ref="O45:Q45"/>
    <mergeCell ref="O41:Q41"/>
    <mergeCell ref="L40:N41"/>
    <mergeCell ref="J40:K41"/>
    <mergeCell ref="R43:T43"/>
    <mergeCell ref="U43:W43"/>
    <mergeCell ref="B44:F44"/>
    <mergeCell ref="H44:I44"/>
    <mergeCell ref="J44:K44"/>
    <mergeCell ref="L44:N44"/>
    <mergeCell ref="O44:Q44"/>
    <mergeCell ref="R44:T44"/>
    <mergeCell ref="U44:W44"/>
    <mergeCell ref="B43:F43"/>
    <mergeCell ref="H43:I43"/>
    <mergeCell ref="J43:K43"/>
    <mergeCell ref="L43:N43"/>
    <mergeCell ref="O43:Q43"/>
    <mergeCell ref="A30:B30"/>
    <mergeCell ref="C30:D30"/>
    <mergeCell ref="A32:F32"/>
    <mergeCell ref="G32:K32"/>
    <mergeCell ref="A39:W39"/>
    <mergeCell ref="A40:A41"/>
    <mergeCell ref="O42:Q42"/>
    <mergeCell ref="R42:T42"/>
    <mergeCell ref="A37:I37"/>
    <mergeCell ref="J37:K37"/>
    <mergeCell ref="L37:N37"/>
    <mergeCell ref="O37:P37"/>
    <mergeCell ref="Q37:S37"/>
    <mergeCell ref="H40:I41"/>
    <mergeCell ref="G40:G41"/>
    <mergeCell ref="B40:F41"/>
    <mergeCell ref="U40:W41"/>
    <mergeCell ref="U42:W42"/>
    <mergeCell ref="L42:N42"/>
    <mergeCell ref="J42:K42"/>
    <mergeCell ref="H42:I42"/>
    <mergeCell ref="B42:F42"/>
    <mergeCell ref="O40:T40"/>
    <mergeCell ref="R41:T41"/>
    <mergeCell ref="A35:C35"/>
    <mergeCell ref="D35:F35"/>
    <mergeCell ref="G35:I35"/>
    <mergeCell ref="J34:W34"/>
    <mergeCell ref="J35:K35"/>
    <mergeCell ref="L35:N35"/>
    <mergeCell ref="O35:P35"/>
    <mergeCell ref="Q35:R35"/>
    <mergeCell ref="S35:T35"/>
    <mergeCell ref="U35:W35"/>
    <mergeCell ref="U7:W7"/>
    <mergeCell ref="Q8:R8"/>
    <mergeCell ref="S8:T8"/>
    <mergeCell ref="U8:W8"/>
    <mergeCell ref="Q9:R9"/>
    <mergeCell ref="N21:R21"/>
    <mergeCell ref="G34:I34"/>
    <mergeCell ref="D34:F34"/>
    <mergeCell ref="A34:C34"/>
    <mergeCell ref="A33:W33"/>
    <mergeCell ref="S9:T9"/>
    <mergeCell ref="U9:W9"/>
    <mergeCell ref="M11:P11"/>
    <mergeCell ref="Q11:R11"/>
    <mergeCell ref="E30:F30"/>
    <mergeCell ref="G30:H30"/>
    <mergeCell ref="I30:K30"/>
    <mergeCell ref="A29:B29"/>
    <mergeCell ref="C29:D29"/>
    <mergeCell ref="E29:F29"/>
    <mergeCell ref="G29:H29"/>
    <mergeCell ref="I29:K29"/>
    <mergeCell ref="A28:B28"/>
    <mergeCell ref="C28:D28"/>
    <mergeCell ref="A20:K20"/>
    <mergeCell ref="N20:R20"/>
    <mergeCell ref="A27:B27"/>
    <mergeCell ref="C27:D27"/>
    <mergeCell ref="E27:F27"/>
    <mergeCell ref="G27:H27"/>
    <mergeCell ref="I27:K27"/>
    <mergeCell ref="A23:B23"/>
    <mergeCell ref="C23:D23"/>
    <mergeCell ref="E23:F23"/>
    <mergeCell ref="G23:H23"/>
    <mergeCell ref="I23:K23"/>
    <mergeCell ref="A22:B22"/>
    <mergeCell ref="C22:D22"/>
    <mergeCell ref="E22:F22"/>
    <mergeCell ref="G22:H22"/>
    <mergeCell ref="I22:K22"/>
    <mergeCell ref="I21:K21"/>
    <mergeCell ref="G21:H21"/>
    <mergeCell ref="E21:F21"/>
    <mergeCell ref="C21:D21"/>
    <mergeCell ref="A21:B21"/>
    <mergeCell ref="A24:B24"/>
    <mergeCell ref="C24:D24"/>
    <mergeCell ref="U16:W16"/>
    <mergeCell ref="U15:W15"/>
    <mergeCell ref="A13:B13"/>
    <mergeCell ref="A14:B14"/>
    <mergeCell ref="A15:B15"/>
    <mergeCell ref="A16:B16"/>
    <mergeCell ref="A17:B17"/>
    <mergeCell ref="A18:B18"/>
    <mergeCell ref="R14:T14"/>
    <mergeCell ref="R13:T13"/>
    <mergeCell ref="R16:T16"/>
    <mergeCell ref="R17:T17"/>
    <mergeCell ref="R18:T18"/>
    <mergeCell ref="O13:Q13"/>
    <mergeCell ref="R15:T15"/>
    <mergeCell ref="O14:Q14"/>
    <mergeCell ref="O15:Q15"/>
    <mergeCell ref="O16:Q16"/>
    <mergeCell ref="O17:Q17"/>
    <mergeCell ref="O18:Q18"/>
    <mergeCell ref="C14:H14"/>
    <mergeCell ref="C13:H13"/>
    <mergeCell ref="U14:W14"/>
    <mergeCell ref="U13:W13"/>
    <mergeCell ref="J16:K16"/>
    <mergeCell ref="J17:K17"/>
    <mergeCell ref="J18:K18"/>
    <mergeCell ref="L13:M13"/>
    <mergeCell ref="L14:M14"/>
    <mergeCell ref="L15:M15"/>
    <mergeCell ref="L16:M16"/>
    <mergeCell ref="L17:M17"/>
    <mergeCell ref="L18:M18"/>
    <mergeCell ref="J13:K13"/>
    <mergeCell ref="J14:K14"/>
    <mergeCell ref="J15:K15"/>
    <mergeCell ref="C18:H18"/>
    <mergeCell ref="C17:H17"/>
    <mergeCell ref="C16:H16"/>
    <mergeCell ref="C15:H15"/>
    <mergeCell ref="U18:W18"/>
    <mergeCell ref="U17:W17"/>
    <mergeCell ref="A6:C6"/>
    <mergeCell ref="A1:W1"/>
    <mergeCell ref="D11:K11"/>
    <mergeCell ref="D10:K10"/>
    <mergeCell ref="D9:K9"/>
    <mergeCell ref="D8:K8"/>
    <mergeCell ref="D7:K7"/>
    <mergeCell ref="D6:K6"/>
    <mergeCell ref="A11:C11"/>
    <mergeCell ref="A10:C10"/>
    <mergeCell ref="A9:C9"/>
    <mergeCell ref="A8:C8"/>
    <mergeCell ref="A7:C7"/>
    <mergeCell ref="A5:K5"/>
    <mergeCell ref="M5:W5"/>
    <mergeCell ref="U6:W6"/>
    <mergeCell ref="S6:T6"/>
    <mergeCell ref="Q6:R6"/>
    <mergeCell ref="M6:P6"/>
    <mergeCell ref="M7:P7"/>
    <mergeCell ref="M8:P8"/>
    <mergeCell ref="M9:P9"/>
    <mergeCell ref="Q7:R7"/>
    <mergeCell ref="S7:T7"/>
    <mergeCell ref="L32:Q32"/>
    <mergeCell ref="R32:W32"/>
    <mergeCell ref="M27:W29"/>
    <mergeCell ref="E24:F24"/>
    <mergeCell ref="G24:H24"/>
    <mergeCell ref="I24:K24"/>
    <mergeCell ref="A25:B25"/>
    <mergeCell ref="C25:D25"/>
    <mergeCell ref="E25:F25"/>
    <mergeCell ref="G25:H25"/>
    <mergeCell ref="I25:K25"/>
    <mergeCell ref="A26:B26"/>
    <mergeCell ref="C26:D26"/>
    <mergeCell ref="E26:F26"/>
    <mergeCell ref="G26:H26"/>
    <mergeCell ref="I26:K26"/>
    <mergeCell ref="E28:F28"/>
    <mergeCell ref="G28:H28"/>
    <mergeCell ref="I28:K28"/>
    <mergeCell ref="A31:B31"/>
    <mergeCell ref="C31:D31"/>
    <mergeCell ref="E31:F31"/>
    <mergeCell ref="G31:H31"/>
    <mergeCell ref="I31:K31"/>
  </mergeCells>
  <phoneticPr fontId="2" type="noConversion"/>
  <conditionalFormatting sqref="L35:N35">
    <cfRule type="iconSet" priority="10">
      <iconSet iconSet="3Symbols2" showValue="0">
        <cfvo type="percent" val="0"/>
        <cfvo type="percent" val="33"/>
        <cfvo type="percent" val="67"/>
      </iconSet>
    </cfRule>
    <cfRule type="iconSet" priority="11">
      <iconSet showValue="0">
        <cfvo type="percent" val="0"/>
        <cfvo type="percent" val="33"/>
        <cfvo type="percent" val="67"/>
      </iconSet>
    </cfRule>
    <cfRule type="iconSet" priority="12">
      <iconSet iconSet="3Symbols2">
        <cfvo type="percent" val="0"/>
        <cfvo type="percent" val="33"/>
        <cfvo type="percent" val="67"/>
      </iconSet>
    </cfRule>
  </conditionalFormatting>
  <conditionalFormatting sqref="L37:N37">
    <cfRule type="iconSet" priority="4">
      <iconSet iconSet="3Symbols2" showValue="0">
        <cfvo type="percent" val="0"/>
        <cfvo type="percent" val="33"/>
        <cfvo type="percent" val="67"/>
      </iconSet>
    </cfRule>
    <cfRule type="iconSet" priority="5">
      <iconSet showValue="0">
        <cfvo type="percent" val="0"/>
        <cfvo type="percent" val="33"/>
        <cfvo type="percent" val="67"/>
      </iconSet>
    </cfRule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Q37:S37">
    <cfRule type="iconSet" priority="1">
      <iconSet iconSet="3Symbols2" showValue="0">
        <cfvo type="percent" val="0"/>
        <cfvo type="percent" val="33"/>
        <cfvo type="percent" val="67"/>
      </iconSet>
    </cfRule>
    <cfRule type="iconSet" priority="2">
      <iconSet showValue="0">
        <cfvo type="percent" val="0"/>
        <cfvo type="percent" val="33"/>
        <cfvo type="percent" val="67"/>
      </iconSet>
    </cfRule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U35:W35">
    <cfRule type="iconSet" priority="7">
      <iconSet iconSet="3Symbols2" showValue="0">
        <cfvo type="percent" val="0"/>
        <cfvo type="percent" val="33"/>
        <cfvo type="percent" val="67"/>
      </iconSet>
    </cfRule>
    <cfRule type="iconSet" priority="8">
      <iconSet showValue="0">
        <cfvo type="percent" val="0"/>
        <cfvo type="percent" val="33"/>
        <cfvo type="percent" val="67"/>
      </iconSet>
    </cfRule>
    <cfRule type="iconSet" priority="9">
      <iconSet iconSet="3Symbols2">
        <cfvo type="percent" val="0"/>
        <cfvo type="percent" val="33"/>
        <cfvo type="percent" val="67"/>
      </iconSet>
    </cfRule>
  </conditionalFormatting>
  <dataValidations count="9">
    <dataValidation type="list" allowBlank="1" showInputMessage="1" showErrorMessage="1" sqref="Q11:R11" xr:uid="{8E3F5BC4-5457-46F8-9A6F-01723776752C}">
      <formula1>$BB$2:$BB$3</formula1>
    </dataValidation>
    <dataValidation type="list" allowBlank="1" showInputMessage="1" showErrorMessage="1" sqref="N21:R21" xr:uid="{237800AE-05B1-4ADD-AE9E-D311C2E8B9E0}">
      <formula1>$BC$2:$BC$4</formula1>
    </dataValidation>
    <dataValidation type="list" allowBlank="1" showInputMessage="1" showErrorMessage="1" sqref="D8:K8" xr:uid="{51738FB9-91AB-4D2C-9B28-989C7E0BB7F1}">
      <formula1>$AV$2:$AV$4</formula1>
    </dataValidation>
    <dataValidation type="list" allowBlank="1" showInputMessage="1" showErrorMessage="1" sqref="D9:K9" xr:uid="{3B3A85DE-79BB-4A6F-AFBE-49B51DFBC0D4}">
      <formula1>$AW$2:$AW$4</formula1>
    </dataValidation>
    <dataValidation type="list" allowBlank="1" showInputMessage="1" showErrorMessage="1" sqref="D10:K10" xr:uid="{AB1014A5-FF0D-446D-A2C6-BC0A4C20C2BF}">
      <formula1>$AX$2:$AX$5</formula1>
    </dataValidation>
    <dataValidation type="list" allowBlank="1" showInputMessage="1" showErrorMessage="1" sqref="D11:K11" xr:uid="{085F503B-7134-446E-A715-0E652B1797A9}">
      <formula1>$AY$2:$AY$5</formula1>
    </dataValidation>
    <dataValidation type="list" allowBlank="1" showInputMessage="1" showErrorMessage="1" sqref="I14:I18 G42:G46" xr:uid="{F3550D59-DF51-40D4-988F-17D79525962E}">
      <formula1>$AZ$2:$AZ$3</formula1>
    </dataValidation>
    <dataValidation type="list" allowBlank="1" showInputMessage="1" showErrorMessage="1" sqref="J14:K18 H42:I46" xr:uid="{9BD01FB0-42B1-41DE-A3BC-A4ACF7C15FAB}">
      <formula1>$BA$2:$BA$7</formula1>
    </dataValidation>
    <dataValidation type="list" allowBlank="1" showInputMessage="1" showErrorMessage="1" sqref="D6:K6" xr:uid="{BD8EEEB2-CDE5-4B00-B899-7FDC56518A0B}">
      <formula1>$AU$2:$AU$195</formula1>
    </dataValidation>
  </dataValidations>
  <printOptions horizontalCentered="1"/>
  <pageMargins left="0.15" right="0.11810914260717401" top="0.2" bottom="0.2" header="0" footer="0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1E21-49D8-42D2-B5DC-2E8706676920}">
  <dimension ref="A1:V77"/>
  <sheetViews>
    <sheetView rightToLeft="1" zoomScaleNormal="100" workbookViewId="0">
      <pane ySplit="3" topLeftCell="A73" activePane="bottomLeft" state="frozen"/>
      <selection pane="bottomLeft" activeCell="U77" sqref="U77"/>
    </sheetView>
  </sheetViews>
  <sheetFormatPr defaultRowHeight="28.5" customHeight="1" x14ac:dyDescent="0.25"/>
  <cols>
    <col min="1" max="1" width="5" style="1" customWidth="1"/>
    <col min="2" max="2" width="23.85546875" style="1" customWidth="1"/>
    <col min="3" max="3" width="8" style="1" customWidth="1"/>
    <col min="4" max="4" width="4.7109375" style="1" customWidth="1"/>
    <col min="5" max="5" width="11.28515625" style="1" customWidth="1"/>
    <col min="6" max="6" width="12.28515625" style="1" customWidth="1"/>
    <col min="7" max="7" width="8.140625" style="1" customWidth="1"/>
    <col min="8" max="8" width="10.7109375" style="1" customWidth="1"/>
    <col min="9" max="19" width="4" style="1" customWidth="1"/>
    <col min="20" max="20" width="3.42578125" style="1" customWidth="1"/>
    <col min="21" max="21" width="4.85546875" style="1" customWidth="1"/>
    <col min="22" max="22" width="7.7109375" style="1" customWidth="1"/>
    <col min="23" max="16384" width="9.140625" style="1"/>
  </cols>
  <sheetData>
    <row r="1" spans="1:22" ht="28.5" customHeight="1" x14ac:dyDescent="0.25">
      <c r="A1" s="68" t="s">
        <v>79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</row>
    <row r="2" spans="1:22" ht="24.75" customHeight="1" x14ac:dyDescent="0.25">
      <c r="A2" s="49" t="s">
        <v>61</v>
      </c>
      <c r="B2" s="49" t="s">
        <v>26</v>
      </c>
      <c r="C2" s="69" t="s">
        <v>23</v>
      </c>
      <c r="D2" s="69" t="s">
        <v>2</v>
      </c>
      <c r="E2" s="69" t="s">
        <v>16</v>
      </c>
      <c r="F2" s="69" t="s">
        <v>27</v>
      </c>
      <c r="G2" s="69" t="s">
        <v>80</v>
      </c>
      <c r="H2" s="69" t="s">
        <v>29</v>
      </c>
      <c r="I2" s="41" t="s">
        <v>84</v>
      </c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3"/>
      <c r="V2" s="69" t="s">
        <v>30</v>
      </c>
    </row>
    <row r="3" spans="1:22" ht="59.25" customHeight="1" x14ac:dyDescent="0.25">
      <c r="A3" s="53"/>
      <c r="B3" s="53"/>
      <c r="C3" s="70"/>
      <c r="D3" s="70"/>
      <c r="E3" s="70"/>
      <c r="F3" s="70"/>
      <c r="G3" s="70"/>
      <c r="H3" s="70"/>
      <c r="I3" s="25" t="s">
        <v>278</v>
      </c>
      <c r="J3" s="25" t="s">
        <v>81</v>
      </c>
      <c r="K3" s="25" t="s">
        <v>288</v>
      </c>
      <c r="L3" s="25" t="s">
        <v>289</v>
      </c>
      <c r="M3" s="25" t="s">
        <v>82</v>
      </c>
      <c r="N3" s="25" t="s">
        <v>279</v>
      </c>
      <c r="O3" s="25" t="s">
        <v>290</v>
      </c>
      <c r="P3" s="25" t="s">
        <v>291</v>
      </c>
      <c r="Q3" s="25" t="s">
        <v>287</v>
      </c>
      <c r="R3" s="25" t="s">
        <v>292</v>
      </c>
      <c r="S3" s="25" t="s">
        <v>293</v>
      </c>
      <c r="T3" s="25" t="s">
        <v>294</v>
      </c>
      <c r="U3" s="24" t="s">
        <v>40</v>
      </c>
      <c r="V3" s="70"/>
    </row>
    <row r="4" spans="1:22" ht="26.45" customHeight="1" x14ac:dyDescent="0.25">
      <c r="A4" s="3" t="str">
        <f>IF(B4="", "", COUNTA($B$4:B4))</f>
        <v/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 t="str">
        <f>IF(SUM(I4:T4)=0, "", SUM(I4:T4))</f>
        <v/>
      </c>
      <c r="V4" s="3"/>
    </row>
    <row r="5" spans="1:22" ht="26.45" customHeight="1" x14ac:dyDescent="0.25">
      <c r="A5" s="3" t="str">
        <f>IF(B5="", "", COUNTA($B$4:B5))</f>
        <v/>
      </c>
      <c r="B5" s="3"/>
      <c r="C5" s="3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 t="str">
        <f t="shared" ref="U5:U68" si="0">IF(SUM(I5:T5)=0, "", SUM(I5:T5))</f>
        <v/>
      </c>
      <c r="V5" s="3"/>
    </row>
    <row r="6" spans="1:22" ht="26.45" customHeight="1" x14ac:dyDescent="0.25">
      <c r="A6" s="3" t="str">
        <f>IF(B6="", "", COUNTA($B$4:B6))</f>
        <v/>
      </c>
      <c r="B6" s="3"/>
      <c r="C6" s="3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 t="str">
        <f t="shared" si="0"/>
        <v/>
      </c>
      <c r="V6" s="3"/>
    </row>
    <row r="7" spans="1:22" ht="26.45" customHeight="1" x14ac:dyDescent="0.25">
      <c r="A7" s="3" t="str">
        <f>IF(B7="", "", COUNTA($B$4:B7))</f>
        <v/>
      </c>
      <c r="B7" s="3"/>
      <c r="C7" s="3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 t="str">
        <f t="shared" si="0"/>
        <v/>
      </c>
      <c r="V7" s="3"/>
    </row>
    <row r="8" spans="1:22" ht="26.45" customHeight="1" x14ac:dyDescent="0.25">
      <c r="A8" s="3" t="str">
        <f>IF(B8="", "", COUNTA($B$4:B8))</f>
        <v/>
      </c>
      <c r="B8" s="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 t="str">
        <f t="shared" si="0"/>
        <v/>
      </c>
      <c r="V8" s="3"/>
    </row>
    <row r="9" spans="1:22" ht="26.45" customHeight="1" x14ac:dyDescent="0.25">
      <c r="A9" s="3" t="str">
        <f>IF(B9="", "", COUNTA($B$4:B9))</f>
        <v/>
      </c>
      <c r="B9" s="3"/>
      <c r="C9" s="3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 t="str">
        <f t="shared" si="0"/>
        <v/>
      </c>
      <c r="V9" s="3"/>
    </row>
    <row r="10" spans="1:22" ht="26.45" customHeight="1" x14ac:dyDescent="0.25">
      <c r="A10" s="3" t="str">
        <f>IF(B10="", "", COUNTA($B$4:B10))</f>
        <v/>
      </c>
      <c r="B10" s="3"/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 t="str">
        <f t="shared" si="0"/>
        <v/>
      </c>
      <c r="V10" s="3"/>
    </row>
    <row r="11" spans="1:22" ht="26.45" customHeight="1" x14ac:dyDescent="0.25">
      <c r="A11" s="3" t="str">
        <f>IF(B11="", "", COUNTA($B$4:B11))</f>
        <v/>
      </c>
      <c r="B11" s="3"/>
      <c r="C11" s="3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 t="str">
        <f t="shared" si="0"/>
        <v/>
      </c>
      <c r="V11" s="3"/>
    </row>
    <row r="12" spans="1:22" ht="26.45" customHeight="1" x14ac:dyDescent="0.25">
      <c r="A12" s="3" t="str">
        <f>IF(B12="", "", COUNTA($B$4:B12))</f>
        <v/>
      </c>
      <c r="B12" s="3"/>
      <c r="C12" s="3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 t="str">
        <f t="shared" si="0"/>
        <v/>
      </c>
      <c r="V12" s="3"/>
    </row>
    <row r="13" spans="1:22" ht="26.45" customHeight="1" x14ac:dyDescent="0.25">
      <c r="A13" s="3" t="str">
        <f>IF(B13="", "", COUNTA($B$4:B13))</f>
        <v/>
      </c>
      <c r="B13" s="3"/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 t="str">
        <f t="shared" si="0"/>
        <v/>
      </c>
      <c r="V13" s="3"/>
    </row>
    <row r="14" spans="1:22" ht="26.45" customHeight="1" x14ac:dyDescent="0.25">
      <c r="A14" s="3" t="str">
        <f>IF(B14="", "", COUNTA($B$4:B14))</f>
        <v/>
      </c>
      <c r="B14" s="3"/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 t="str">
        <f t="shared" si="0"/>
        <v/>
      </c>
      <c r="V14" s="3"/>
    </row>
    <row r="15" spans="1:22" ht="26.45" customHeight="1" x14ac:dyDescent="0.25">
      <c r="A15" s="3" t="str">
        <f>IF(B15="", "", COUNTA($B$4:B15))</f>
        <v/>
      </c>
      <c r="B15" s="3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 t="str">
        <f t="shared" si="0"/>
        <v/>
      </c>
      <c r="V15" s="3"/>
    </row>
    <row r="16" spans="1:22" ht="26.45" customHeight="1" x14ac:dyDescent="0.25">
      <c r="A16" s="3" t="str">
        <f>IF(B16="", "", COUNTA($B$4:B16))</f>
        <v/>
      </c>
      <c r="B16" s="3"/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 t="str">
        <f t="shared" si="0"/>
        <v/>
      </c>
      <c r="V16" s="3"/>
    </row>
    <row r="17" spans="1:22" ht="26.45" customHeight="1" x14ac:dyDescent="0.25">
      <c r="A17" s="3" t="str">
        <f>IF(B17="", "", COUNTA($B$4:B17))</f>
        <v/>
      </c>
      <c r="B17" s="3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 t="str">
        <f t="shared" si="0"/>
        <v/>
      </c>
      <c r="V17" s="3"/>
    </row>
    <row r="18" spans="1:22" ht="26.45" customHeight="1" x14ac:dyDescent="0.25">
      <c r="A18" s="3" t="str">
        <f>IF(B18="", "", COUNTA($B$4:B18))</f>
        <v/>
      </c>
      <c r="B18" s="3"/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 t="str">
        <f t="shared" si="0"/>
        <v/>
      </c>
      <c r="V18" s="3"/>
    </row>
    <row r="19" spans="1:22" ht="26.45" customHeight="1" x14ac:dyDescent="0.25">
      <c r="A19" s="3" t="str">
        <f>IF(B19="", "", COUNTA($B$4:B19))</f>
        <v/>
      </c>
      <c r="B19" s="3"/>
      <c r="C19" s="3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tr">
        <f t="shared" si="0"/>
        <v/>
      </c>
      <c r="V19" s="3"/>
    </row>
    <row r="20" spans="1:22" ht="26.45" customHeight="1" x14ac:dyDescent="0.25">
      <c r="A20" s="3" t="str">
        <f>IF(B20="", "", COUNTA($B$4:B20))</f>
        <v/>
      </c>
      <c r="B20" s="3"/>
      <c r="C20" s="3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tr">
        <f t="shared" si="0"/>
        <v/>
      </c>
      <c r="V20" s="3"/>
    </row>
    <row r="21" spans="1:22" ht="26.45" customHeight="1" x14ac:dyDescent="0.25">
      <c r="A21" s="3" t="str">
        <f>IF(B21="", "", COUNTA($B$4:B21))</f>
        <v/>
      </c>
      <c r="B21" s="3"/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tr">
        <f t="shared" si="0"/>
        <v/>
      </c>
      <c r="V21" s="3"/>
    </row>
    <row r="22" spans="1:22" ht="26.45" customHeight="1" x14ac:dyDescent="0.25">
      <c r="A22" s="3" t="str">
        <f>IF(B22="", "", COUNTA($B$4:B22))</f>
        <v/>
      </c>
      <c r="B22" s="3"/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tr">
        <f t="shared" si="0"/>
        <v/>
      </c>
      <c r="V22" s="3"/>
    </row>
    <row r="23" spans="1:22" ht="26.45" customHeight="1" x14ac:dyDescent="0.25">
      <c r="A23" s="3" t="str">
        <f>IF(B23="", "", COUNTA($B$4:B23))</f>
        <v/>
      </c>
      <c r="B23" s="3"/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tr">
        <f t="shared" si="0"/>
        <v/>
      </c>
      <c r="V23" s="3"/>
    </row>
    <row r="24" spans="1:22" ht="26.45" customHeight="1" x14ac:dyDescent="0.25">
      <c r="A24" s="3" t="str">
        <f>IF(B24="", "", COUNTA($B$4:B24))</f>
        <v/>
      </c>
      <c r="B24" s="3"/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tr">
        <f t="shared" si="0"/>
        <v/>
      </c>
      <c r="V24" s="3"/>
    </row>
    <row r="25" spans="1:22" ht="26.45" customHeight="1" x14ac:dyDescent="0.25">
      <c r="A25" s="3" t="str">
        <f>IF(B25="", "", COUNTA($B$4:B25))</f>
        <v/>
      </c>
      <c r="B25" s="3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tr">
        <f t="shared" si="0"/>
        <v/>
      </c>
      <c r="V25" s="3"/>
    </row>
    <row r="26" spans="1:22" ht="26.45" customHeight="1" x14ac:dyDescent="0.25">
      <c r="A26" s="3" t="str">
        <f>IF(B26="", "", COUNTA($B$4:B26))</f>
        <v/>
      </c>
      <c r="B26" s="3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tr">
        <f t="shared" si="0"/>
        <v/>
      </c>
      <c r="V26" s="3"/>
    </row>
    <row r="27" spans="1:22" ht="26.45" customHeight="1" x14ac:dyDescent="0.25">
      <c r="A27" s="3" t="str">
        <f>IF(B27="", "", COUNTA($B$4:B27))</f>
        <v/>
      </c>
      <c r="B27" s="3"/>
      <c r="C27" s="3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 t="str">
        <f t="shared" si="0"/>
        <v/>
      </c>
      <c r="V27" s="3"/>
    </row>
    <row r="28" spans="1:22" ht="26.45" customHeight="1" x14ac:dyDescent="0.25">
      <c r="A28" s="3" t="str">
        <f>IF(B28="", "", COUNTA($B$4:B28))</f>
        <v/>
      </c>
      <c r="B28" s="3"/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 t="str">
        <f t="shared" si="0"/>
        <v/>
      </c>
      <c r="V28" s="3"/>
    </row>
    <row r="29" spans="1:22" ht="26.45" customHeight="1" x14ac:dyDescent="0.25">
      <c r="A29" s="3" t="str">
        <f>IF(B29="", "", COUNTA($B$4:B29))</f>
        <v/>
      </c>
      <c r="B29" s="3"/>
      <c r="C29" s="3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 t="str">
        <f t="shared" si="0"/>
        <v/>
      </c>
      <c r="V29" s="3"/>
    </row>
    <row r="30" spans="1:22" ht="26.45" customHeight="1" x14ac:dyDescent="0.25">
      <c r="A30" s="3" t="str">
        <f>IF(B30="", "", COUNTA($B$4:B30))</f>
        <v/>
      </c>
      <c r="B30" s="3"/>
      <c r="C30" s="3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 t="str">
        <f t="shared" si="0"/>
        <v/>
      </c>
      <c r="V30" s="3"/>
    </row>
    <row r="31" spans="1:22" ht="26.45" customHeight="1" x14ac:dyDescent="0.25">
      <c r="A31" s="3" t="str">
        <f>IF(B31="", "", COUNTA($B$4:B31))</f>
        <v/>
      </c>
      <c r="B31" s="3"/>
      <c r="C31" s="3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 t="str">
        <f t="shared" si="0"/>
        <v/>
      </c>
      <c r="V31" s="3"/>
    </row>
    <row r="32" spans="1:22" ht="26.45" customHeight="1" x14ac:dyDescent="0.25">
      <c r="A32" s="3" t="str">
        <f>IF(B32="", "", COUNTA($B$4:B32))</f>
        <v/>
      </c>
      <c r="B32" s="3"/>
      <c r="C32" s="3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 t="str">
        <f t="shared" si="0"/>
        <v/>
      </c>
      <c r="V32" s="3"/>
    </row>
    <row r="33" spans="1:22" ht="26.45" customHeight="1" x14ac:dyDescent="0.25">
      <c r="A33" s="3" t="str">
        <f>IF(B33="", "", COUNTA($B$4:B33))</f>
        <v/>
      </c>
      <c r="B33" s="3"/>
      <c r="C33" s="3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 t="str">
        <f t="shared" si="0"/>
        <v/>
      </c>
      <c r="V33" s="3"/>
    </row>
    <row r="34" spans="1:22" ht="26.45" customHeight="1" x14ac:dyDescent="0.25">
      <c r="A34" s="3" t="str">
        <f>IF(B34="", "", COUNTA($B$4:B34))</f>
        <v/>
      </c>
      <c r="B34" s="3"/>
      <c r="C34" s="3"/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 t="str">
        <f t="shared" si="0"/>
        <v/>
      </c>
      <c r="V34" s="3"/>
    </row>
    <row r="35" spans="1:22" ht="26.45" customHeight="1" x14ac:dyDescent="0.25">
      <c r="A35" s="3" t="str">
        <f>IF(B35="", "", COUNTA($B$4:B35))</f>
        <v/>
      </c>
      <c r="B35" s="3"/>
      <c r="C35" s="3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 t="str">
        <f t="shared" si="0"/>
        <v/>
      </c>
      <c r="V35" s="3"/>
    </row>
    <row r="36" spans="1:22" ht="26.45" customHeight="1" x14ac:dyDescent="0.25">
      <c r="A36" s="3" t="str">
        <f>IF(B36="", "", COUNTA($B$4:B36))</f>
        <v/>
      </c>
      <c r="B36" s="3"/>
      <c r="C36" s="3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 t="str">
        <f t="shared" si="0"/>
        <v/>
      </c>
      <c r="V36" s="3"/>
    </row>
    <row r="37" spans="1:22" ht="26.45" customHeight="1" x14ac:dyDescent="0.25">
      <c r="A37" s="3" t="str">
        <f>IF(B37="", "", COUNTA($B$4:B37))</f>
        <v/>
      </c>
      <c r="B37" s="3"/>
      <c r="C37" s="3"/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 t="str">
        <f t="shared" si="0"/>
        <v/>
      </c>
      <c r="V37" s="3"/>
    </row>
    <row r="38" spans="1:22" ht="26.45" customHeight="1" x14ac:dyDescent="0.25">
      <c r="A38" s="3" t="str">
        <f>IF(B38="", "", COUNTA($B$4:B38))</f>
        <v/>
      </c>
      <c r="B38" s="3"/>
      <c r="C38" s="3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 t="str">
        <f t="shared" si="0"/>
        <v/>
      </c>
      <c r="V38" s="3"/>
    </row>
    <row r="39" spans="1:22" ht="26.45" customHeight="1" x14ac:dyDescent="0.25">
      <c r="A39" s="3" t="str">
        <f>IF(B39="", "", COUNTA($B$4:B39))</f>
        <v/>
      </c>
      <c r="B39" s="3"/>
      <c r="C39" s="3"/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 t="str">
        <f t="shared" si="0"/>
        <v/>
      </c>
      <c r="V39" s="3"/>
    </row>
    <row r="40" spans="1:22" ht="26.45" customHeight="1" x14ac:dyDescent="0.25">
      <c r="A40" s="3" t="str">
        <f>IF(B40="", "", COUNTA($B$4:B40))</f>
        <v/>
      </c>
      <c r="B40" s="3"/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 t="str">
        <f t="shared" si="0"/>
        <v/>
      </c>
      <c r="V40" s="3"/>
    </row>
    <row r="41" spans="1:22" ht="26.45" customHeight="1" x14ac:dyDescent="0.25">
      <c r="A41" s="3" t="str">
        <f>IF(B41="", "", COUNTA($B$4:B41))</f>
        <v/>
      </c>
      <c r="B41" s="3"/>
      <c r="C41" s="3"/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 t="str">
        <f t="shared" si="0"/>
        <v/>
      </c>
      <c r="V41" s="3"/>
    </row>
    <row r="42" spans="1:22" ht="26.45" customHeight="1" x14ac:dyDescent="0.25">
      <c r="A42" s="3" t="str">
        <f>IF(B42="", "", COUNTA($B$4:B42))</f>
        <v/>
      </c>
      <c r="B42" s="3"/>
      <c r="C42" s="3"/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 t="str">
        <f t="shared" si="0"/>
        <v/>
      </c>
      <c r="V42" s="3"/>
    </row>
    <row r="43" spans="1:22" ht="26.45" customHeight="1" x14ac:dyDescent="0.25">
      <c r="A43" s="3" t="str">
        <f>IF(B43="", "", COUNTA($B$4:B43))</f>
        <v/>
      </c>
      <c r="B43" s="3"/>
      <c r="C43" s="3"/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 t="str">
        <f t="shared" si="0"/>
        <v/>
      </c>
      <c r="V43" s="3"/>
    </row>
    <row r="44" spans="1:22" ht="26.45" customHeight="1" x14ac:dyDescent="0.25">
      <c r="A44" s="3" t="str">
        <f>IF(B44="", "", COUNTA($B$4:B44))</f>
        <v/>
      </c>
      <c r="B44" s="3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 t="str">
        <f t="shared" si="0"/>
        <v/>
      </c>
      <c r="V44" s="3"/>
    </row>
    <row r="45" spans="1:22" ht="26.45" customHeight="1" x14ac:dyDescent="0.25">
      <c r="A45" s="3" t="str">
        <f>IF(B45="", "", COUNTA($B$4:B45))</f>
        <v/>
      </c>
      <c r="B45" s="3"/>
      <c r="C45" s="3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 t="str">
        <f t="shared" si="0"/>
        <v/>
      </c>
      <c r="V45" s="3"/>
    </row>
    <row r="46" spans="1:22" ht="26.45" customHeight="1" x14ac:dyDescent="0.25">
      <c r="A46" s="3" t="str">
        <f>IF(B46="", "", COUNTA($B$4:B46))</f>
        <v/>
      </c>
      <c r="B46" s="3"/>
      <c r="C46" s="3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 t="str">
        <f t="shared" si="0"/>
        <v/>
      </c>
      <c r="V46" s="3"/>
    </row>
    <row r="47" spans="1:22" ht="26.45" customHeight="1" x14ac:dyDescent="0.25">
      <c r="A47" s="3" t="str">
        <f>IF(B47="", "", COUNTA($B$4:B47))</f>
        <v/>
      </c>
      <c r="B47" s="3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 t="str">
        <f t="shared" si="0"/>
        <v/>
      </c>
      <c r="V47" s="3"/>
    </row>
    <row r="48" spans="1:22" ht="26.45" customHeight="1" x14ac:dyDescent="0.25">
      <c r="A48" s="3" t="str">
        <f>IF(B48="", "", COUNTA($B$4:B48))</f>
        <v/>
      </c>
      <c r="B48" s="3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 t="str">
        <f t="shared" si="0"/>
        <v/>
      </c>
      <c r="V48" s="3"/>
    </row>
    <row r="49" spans="1:22" ht="26.45" customHeight="1" x14ac:dyDescent="0.25">
      <c r="A49" s="3" t="str">
        <f>IF(B49="", "", COUNTA($B$4:B49))</f>
        <v/>
      </c>
      <c r="B49" s="3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 t="str">
        <f t="shared" si="0"/>
        <v/>
      </c>
      <c r="V49" s="3"/>
    </row>
    <row r="50" spans="1:22" ht="26.45" customHeight="1" x14ac:dyDescent="0.25">
      <c r="A50" s="3" t="str">
        <f>IF(B50="", "", COUNTA($B$4:B50))</f>
        <v/>
      </c>
      <c r="B50" s="3"/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 t="str">
        <f t="shared" si="0"/>
        <v/>
      </c>
      <c r="V50" s="3"/>
    </row>
    <row r="51" spans="1:22" ht="26.45" customHeight="1" x14ac:dyDescent="0.25">
      <c r="A51" s="3" t="str">
        <f>IF(B51="", "", COUNTA($B$4:B51))</f>
        <v/>
      </c>
      <c r="B51" s="3"/>
      <c r="C51" s="3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 t="str">
        <f t="shared" si="0"/>
        <v/>
      </c>
      <c r="V51" s="3"/>
    </row>
    <row r="52" spans="1:22" ht="26.45" customHeight="1" x14ac:dyDescent="0.25">
      <c r="A52" s="3" t="str">
        <f>IF(B52="", "", COUNTA($B$4:B52))</f>
        <v/>
      </c>
      <c r="B52" s="3"/>
      <c r="C52" s="3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 t="str">
        <f t="shared" si="0"/>
        <v/>
      </c>
      <c r="V52" s="3"/>
    </row>
    <row r="53" spans="1:22" ht="26.45" customHeight="1" x14ac:dyDescent="0.25">
      <c r="A53" s="3" t="str">
        <f>IF(B53="", "", COUNTA($B$4:B53))</f>
        <v/>
      </c>
      <c r="B53" s="3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 t="str">
        <f t="shared" si="0"/>
        <v/>
      </c>
      <c r="V53" s="3"/>
    </row>
    <row r="54" spans="1:22" ht="26.45" customHeight="1" x14ac:dyDescent="0.25">
      <c r="A54" s="3" t="str">
        <f>IF(B54="", "", COUNTA($B$4:B54))</f>
        <v/>
      </c>
      <c r="B54" s="3"/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 t="str">
        <f t="shared" si="0"/>
        <v/>
      </c>
      <c r="V54" s="3"/>
    </row>
    <row r="55" spans="1:22" ht="26.45" customHeight="1" x14ac:dyDescent="0.25">
      <c r="A55" s="3" t="str">
        <f>IF(B55="", "", COUNTA($B$4:B55))</f>
        <v/>
      </c>
      <c r="B55" s="3"/>
      <c r="C55" s="3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 t="str">
        <f t="shared" si="0"/>
        <v/>
      </c>
      <c r="V55" s="3"/>
    </row>
    <row r="56" spans="1:22" ht="26.45" customHeight="1" x14ac:dyDescent="0.25">
      <c r="A56" s="3" t="str">
        <f>IF(B56="", "", COUNTA($B$4:B56))</f>
        <v/>
      </c>
      <c r="B56" s="3"/>
      <c r="C56" s="3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 t="str">
        <f t="shared" si="0"/>
        <v/>
      </c>
      <c r="V56" s="3"/>
    </row>
    <row r="57" spans="1:22" ht="26.45" customHeight="1" x14ac:dyDescent="0.25">
      <c r="A57" s="3" t="str">
        <f>IF(B57="", "", COUNTA($B$4:B57))</f>
        <v/>
      </c>
      <c r="B57" s="3"/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 t="str">
        <f t="shared" si="0"/>
        <v/>
      </c>
      <c r="V57" s="3"/>
    </row>
    <row r="58" spans="1:22" ht="26.45" customHeight="1" x14ac:dyDescent="0.25">
      <c r="A58" s="3" t="str">
        <f>IF(B58="", "", COUNTA($B$4:B58))</f>
        <v/>
      </c>
      <c r="B58" s="3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 t="str">
        <f t="shared" si="0"/>
        <v/>
      </c>
      <c r="V58" s="3"/>
    </row>
    <row r="59" spans="1:22" ht="26.45" customHeight="1" x14ac:dyDescent="0.25">
      <c r="A59" s="3" t="str">
        <f>IF(B59="", "", COUNTA($B$4:B59))</f>
        <v/>
      </c>
      <c r="B59" s="3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 t="str">
        <f t="shared" si="0"/>
        <v/>
      </c>
      <c r="V59" s="3"/>
    </row>
    <row r="60" spans="1:22" ht="26.45" customHeight="1" x14ac:dyDescent="0.25">
      <c r="A60" s="3" t="str">
        <f>IF(B60="", "", COUNTA($B$4:B60))</f>
        <v/>
      </c>
      <c r="B60" s="3"/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 t="str">
        <f t="shared" si="0"/>
        <v/>
      </c>
      <c r="V60" s="3"/>
    </row>
    <row r="61" spans="1:22" ht="26.45" customHeight="1" x14ac:dyDescent="0.25">
      <c r="A61" s="3" t="str">
        <f>IF(B61="", "", COUNTA($B$4:B61))</f>
        <v/>
      </c>
      <c r="B61" s="3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 t="str">
        <f t="shared" si="0"/>
        <v/>
      </c>
      <c r="V61" s="3"/>
    </row>
    <row r="62" spans="1:22" ht="26.45" customHeight="1" x14ac:dyDescent="0.25">
      <c r="A62" s="3" t="str">
        <f>IF(B62="", "", COUNTA($B$4:B62))</f>
        <v/>
      </c>
      <c r="B62" s="3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 t="str">
        <f t="shared" si="0"/>
        <v/>
      </c>
      <c r="V62" s="3"/>
    </row>
    <row r="63" spans="1:22" ht="26.45" customHeight="1" x14ac:dyDescent="0.25">
      <c r="A63" s="3" t="str">
        <f>IF(B63="", "", COUNTA($B$4:B63))</f>
        <v/>
      </c>
      <c r="B63" s="3"/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 t="str">
        <f t="shared" si="0"/>
        <v/>
      </c>
      <c r="V63" s="3"/>
    </row>
    <row r="64" spans="1:22" ht="26.45" customHeight="1" x14ac:dyDescent="0.25">
      <c r="A64" s="3" t="str">
        <f>IF(B64="", "", COUNTA($B$4:B64))</f>
        <v/>
      </c>
      <c r="B64" s="3"/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 t="str">
        <f t="shared" si="0"/>
        <v/>
      </c>
      <c r="V64" s="3"/>
    </row>
    <row r="65" spans="1:22" ht="26.45" customHeight="1" x14ac:dyDescent="0.25">
      <c r="A65" s="3" t="str">
        <f>IF(B65="", "", COUNTA($B$4:B65))</f>
        <v/>
      </c>
      <c r="B65" s="3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 t="str">
        <f t="shared" si="0"/>
        <v/>
      </c>
      <c r="V65" s="3"/>
    </row>
    <row r="66" spans="1:22" ht="26.45" customHeight="1" x14ac:dyDescent="0.25">
      <c r="A66" s="3" t="str">
        <f>IF(B66="", "", COUNTA($B$4:B66))</f>
        <v/>
      </c>
      <c r="B66" s="3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 t="str">
        <f t="shared" si="0"/>
        <v/>
      </c>
      <c r="V66" s="3"/>
    </row>
    <row r="67" spans="1:22" ht="26.45" customHeight="1" x14ac:dyDescent="0.25">
      <c r="A67" s="3" t="str">
        <f>IF(B67="", "", COUNTA($B$4:B67))</f>
        <v/>
      </c>
      <c r="B67" s="3"/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 t="str">
        <f t="shared" si="0"/>
        <v/>
      </c>
      <c r="V67" s="3"/>
    </row>
    <row r="68" spans="1:22" ht="26.45" customHeight="1" x14ac:dyDescent="0.25">
      <c r="A68" s="3" t="str">
        <f>IF(B68="", "", COUNTA($B$4:B68))</f>
        <v/>
      </c>
      <c r="B68" s="3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 t="str">
        <f t="shared" si="0"/>
        <v/>
      </c>
      <c r="V68" s="3"/>
    </row>
    <row r="69" spans="1:22" ht="26.45" customHeight="1" x14ac:dyDescent="0.25">
      <c r="A69" s="3" t="str">
        <f>IF(B69="", "", COUNTA($B$4:B69))</f>
        <v/>
      </c>
      <c r="B69" s="3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 t="str">
        <f t="shared" ref="U69:U76" si="1">IF(SUM(I69:T69)=0, "", SUM(I69:T69))</f>
        <v/>
      </c>
      <c r="V69" s="3"/>
    </row>
    <row r="70" spans="1:22" ht="26.45" customHeight="1" x14ac:dyDescent="0.25">
      <c r="A70" s="3" t="str">
        <f>IF(B70="", "", COUNTA($B$4:B70))</f>
        <v/>
      </c>
      <c r="B70" s="3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 t="str">
        <f t="shared" si="1"/>
        <v/>
      </c>
      <c r="V70" s="3"/>
    </row>
    <row r="71" spans="1:22" ht="28.5" customHeight="1" x14ac:dyDescent="0.25">
      <c r="A71" s="3" t="str">
        <f>IF(B71="", "", COUNTA($B$4:B71))</f>
        <v/>
      </c>
      <c r="B71" s="3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 t="str">
        <f t="shared" si="1"/>
        <v/>
      </c>
      <c r="V71" s="3"/>
    </row>
    <row r="72" spans="1:22" ht="28.5" customHeight="1" x14ac:dyDescent="0.25">
      <c r="A72" s="3" t="str">
        <f>IF(B72="", "", COUNTA($B$4:B72))</f>
        <v/>
      </c>
      <c r="B72" s="3"/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 t="str">
        <f t="shared" si="1"/>
        <v/>
      </c>
      <c r="V72" s="3"/>
    </row>
    <row r="73" spans="1:22" ht="28.5" customHeight="1" x14ac:dyDescent="0.25">
      <c r="A73" s="3" t="str">
        <f>IF(B73="", "", COUNTA($B$4:B73))</f>
        <v/>
      </c>
      <c r="B73" s="3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 t="str">
        <f t="shared" si="1"/>
        <v/>
      </c>
      <c r="V73" s="3"/>
    </row>
    <row r="74" spans="1:22" ht="28.5" customHeight="1" x14ac:dyDescent="0.25">
      <c r="A74" s="3" t="str">
        <f>IF(B74="", "", COUNTA($B$4:B74))</f>
        <v/>
      </c>
      <c r="B74" s="3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 t="str">
        <f t="shared" si="1"/>
        <v/>
      </c>
      <c r="V74" s="3"/>
    </row>
    <row r="75" spans="1:22" ht="28.5" customHeight="1" x14ac:dyDescent="0.25">
      <c r="A75" s="3" t="str">
        <f>IF(B75="", "", COUNTA($B$4:B75))</f>
        <v/>
      </c>
      <c r="B75" s="3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 t="str">
        <f t="shared" si="1"/>
        <v/>
      </c>
      <c r="V75" s="3"/>
    </row>
    <row r="76" spans="1:22" ht="28.5" customHeight="1" x14ac:dyDescent="0.25">
      <c r="A76" s="3" t="str">
        <f>IF(B76="", "", COUNTA($B$4:B76))</f>
        <v/>
      </c>
      <c r="B76" s="3"/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 t="str">
        <f t="shared" si="1"/>
        <v/>
      </c>
      <c r="V76" s="3"/>
    </row>
    <row r="77" spans="1:22" ht="28.5" customHeight="1" x14ac:dyDescent="0.25">
      <c r="A77" s="46" t="s">
        <v>40</v>
      </c>
      <c r="B77" s="47"/>
      <c r="C77" s="47"/>
      <c r="D77" s="47"/>
      <c r="E77" s="47"/>
      <c r="F77" s="47"/>
      <c r="G77" s="47"/>
      <c r="H77" s="48"/>
      <c r="I77" s="3" t="str">
        <f>IF(SUM(I4:I76)=0, "", SUM(I4:I76))</f>
        <v/>
      </c>
      <c r="J77" s="3" t="str">
        <f t="shared" ref="J77:U77" si="2">IF(SUM(J4:J76)=0, "", SUM(J4:J76))</f>
        <v/>
      </c>
      <c r="K77" s="3" t="str">
        <f t="shared" si="2"/>
        <v/>
      </c>
      <c r="L77" s="3" t="str">
        <f t="shared" si="2"/>
        <v/>
      </c>
      <c r="M77" s="3" t="str">
        <f t="shared" si="2"/>
        <v/>
      </c>
      <c r="N77" s="3" t="str">
        <f t="shared" si="2"/>
        <v/>
      </c>
      <c r="O77" s="3" t="str">
        <f t="shared" si="2"/>
        <v/>
      </c>
      <c r="P77" s="3" t="str">
        <f t="shared" si="2"/>
        <v/>
      </c>
      <c r="Q77" s="3" t="str">
        <f t="shared" si="2"/>
        <v/>
      </c>
      <c r="R77" s="3" t="str">
        <f t="shared" si="2"/>
        <v/>
      </c>
      <c r="S77" s="3" t="str">
        <f t="shared" si="2"/>
        <v/>
      </c>
      <c r="T77" s="3" t="str">
        <f t="shared" si="2"/>
        <v/>
      </c>
      <c r="U77" s="3" t="str">
        <f t="shared" si="2"/>
        <v/>
      </c>
      <c r="V77" s="3"/>
    </row>
  </sheetData>
  <mergeCells count="12">
    <mergeCell ref="A77:H77"/>
    <mergeCell ref="A1:V1"/>
    <mergeCell ref="A2:A3"/>
    <mergeCell ref="I2:U2"/>
    <mergeCell ref="V2:V3"/>
    <mergeCell ref="H2:H3"/>
    <mergeCell ref="G2:G3"/>
    <mergeCell ref="F2:F3"/>
    <mergeCell ref="E2:E3"/>
    <mergeCell ref="D2:D3"/>
    <mergeCell ref="C2:C3"/>
    <mergeCell ref="B2:B3"/>
  </mergeCells>
  <printOptions horizontalCentered="1"/>
  <pageMargins left="0.15" right="0.11810914260717401" top="0.2" bottom="0.2" header="0" footer="0"/>
  <pageSetup paperSize="9" orientation="landscape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3D1A02B-A478-42F3-98A7-DA337A79D578}">
          <x14:formula1>
            <xm:f>پێزانين!$BD$2:$BD$4</xm:f>
          </x14:formula1>
          <xm:sqref>C4:C76</xm:sqref>
        </x14:dataValidation>
        <x14:dataValidation type="list" allowBlank="1" showInputMessage="1" showErrorMessage="1" xr:uid="{A1687734-75FA-44AA-B967-37905ACE672B}">
          <x14:formula1>
            <xm:f>پێزانين!$AZ$2:$AZ$3</xm:f>
          </x14:formula1>
          <xm:sqref>D4:D76</xm:sqref>
        </x14:dataValidation>
        <x14:dataValidation type="list" allowBlank="1" showInputMessage="1" showErrorMessage="1" xr:uid="{60D9C82F-CED7-4D87-B899-543115688C38}">
          <x14:formula1>
            <xm:f>پێزانين!$BA$2:$BA$7</xm:f>
          </x14:formula1>
          <xm:sqref>E4:E76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پێزانين</vt:lpstr>
      <vt:lpstr>ميلاك</vt:lpstr>
      <vt:lpstr>ميلاك!Print_Titles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Zaxo</dc:creator>
  <cp:lastModifiedBy>Zaxo</cp:lastModifiedBy>
  <cp:lastPrinted>2026-07-25T09:48:40Z</cp:lastPrinted>
  <dcterms:created xsi:type="dcterms:W3CDTF">2024-07-17T14:55:53Z</dcterms:created>
  <dcterms:modified xsi:type="dcterms:W3CDTF">2026-07-25T10:21:09Z</dcterms:modified>
</cp:coreProperties>
</file>